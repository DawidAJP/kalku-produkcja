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1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odukcja\Desktop\"/>
    </mc:Choice>
  </mc:AlternateContent>
  <xr:revisionPtr revIDLastSave="0" documentId="13_ncr:1_{B2799732-98CD-4044-A7BE-42176BC7FF67}" xr6:coauthVersionLast="36" xr6:coauthVersionMax="36" xr10:uidLastSave="{00000000-0000-0000-0000-000000000000}"/>
  <workbookProtection workbookAlgorithmName="SHA-512" workbookHashValue="ZELTEgZgJGweYmDs+5DDZKaXnHCkGiZj/o2lJvf6BGIn0OHPRpQblEWrmlDoHqd7sr9fePq3i93vwZeUYMbEaA==" workbookSaltValue="ji9VTmDSrzaqPRwqJWl/9g==" workbookSpinCount="100000" lockStructure="1"/>
  <bookViews>
    <workbookView xWindow="-108" yWindow="-108" windowWidth="23256" windowHeight="12576" tabRatio="799" xr2:uid="{00000000-000D-0000-FFFF-FFFF00000000}"/>
  </bookViews>
  <sheets>
    <sheet name="Cennik Produkcja " sheetId="1" r:id="rId1"/>
    <sheet name="Ceny składowe" sheetId="21" state="hidden" r:id="rId2"/>
    <sheet name="Kanał osiatkowany" sheetId="24" state="hidden" r:id="rId3"/>
    <sheet name="Ramka do kanałów" sheetId="23" state="hidden" r:id="rId4"/>
    <sheet name="Przej_dach_okr" sheetId="22" state="hidden" r:id="rId5"/>
    <sheet name="Wyrzutnie" sheetId="20" state="hidden" r:id="rId6"/>
    <sheet name="Podstawa PD" sheetId="18" state="hidden" r:id="rId7"/>
    <sheet name="Puszka filtracyjna" sheetId="17" state="hidden" r:id="rId8"/>
    <sheet name="Przepustnice" sheetId="2" state="hidden" r:id="rId9"/>
    <sheet name="Wywietrzak cylindryczny" sheetId="19" state="hidden" r:id="rId10"/>
    <sheet name="Czerpnia ścienna" sheetId="3" state="hidden" r:id="rId11"/>
    <sheet name="Tłumik prostokątny" sheetId="4" state="hidden" r:id="rId12"/>
    <sheet name="Tłumik okrągły" sheetId="6" state="hidden" r:id="rId13"/>
    <sheet name="Kalkulacje spiro" sheetId="26" state="hidden" r:id="rId14"/>
    <sheet name="Czerpnia dachowa lamelowa" sheetId="7" state="hidden" r:id="rId15"/>
    <sheet name="Puszka rozprężna" sheetId="8" state="hidden" r:id="rId16"/>
    <sheet name="Puszka rozprężna okrągła" sheetId="27" state="hidden" r:id="rId17"/>
    <sheet name="Tap" sheetId="10" state="hidden" r:id="rId18"/>
    <sheet name="Taca ociekowa" sheetId="37" state="hidden" r:id="rId19"/>
    <sheet name="Kolar_Nypel_Mufa" sheetId="9" state="hidden" r:id="rId20"/>
    <sheet name="Wyrzutnia ścięta osiatkowana" sheetId="11" state="hidden" r:id="rId21"/>
    <sheet name="Podstawa dachowa okrągła" sheetId="12" state="hidden" r:id="rId22"/>
    <sheet name="Kolar osiatkowany ILS" sheetId="14" state="hidden" r:id="rId23"/>
    <sheet name="Kołnierz elastyczny" sheetId="13" state="hidden" r:id="rId24"/>
    <sheet name="Filtr " sheetId="15" state="hidden" r:id="rId25"/>
    <sheet name="Cokół COKD" sheetId="16" state="hidden" r:id="rId26"/>
    <sheet name="Redukcja okrągła" sheetId="25" state="hidden" r:id="rId27"/>
    <sheet name="Rura gładka" sheetId="36" state="hidden" r:id="rId28"/>
    <sheet name="Okap" sheetId="38" state="hidden" r:id="rId29"/>
  </sheets>
  <definedNames>
    <definedName name="_xlnm._FilterDatabase" localSheetId="0" hidden="1">'Cennik Produkcja '!$A$1:$H$181</definedName>
    <definedName name="_xlnm.Print_Area" localSheetId="10">'Czerpnia ścienna'!$D$25:$P$37</definedName>
    <definedName name="_xlnm.Print_Area" localSheetId="8">Przepustnice!$A$18:$F$32</definedName>
    <definedName name="_xlnm.Print_Area" localSheetId="9">'Wywietrzak cylindryczny'!$A$2:$A$15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4" i="1" l="1"/>
  <c r="J35" i="36" l="1"/>
  <c r="E79" i="3" l="1"/>
  <c r="C23" i="19"/>
  <c r="C17" i="3"/>
  <c r="A71" i="3"/>
  <c r="C79" i="3" l="1"/>
  <c r="F79" i="3" s="1"/>
  <c r="C78" i="3"/>
  <c r="F78" i="3" s="1"/>
  <c r="F52" i="1"/>
  <c r="J25" i="22" l="1"/>
  <c r="E26" i="22"/>
  <c r="L9" i="23" l="1"/>
  <c r="E45" i="6" l="1"/>
  <c r="M27" i="6" l="1"/>
  <c r="E26" i="6"/>
  <c r="V18" i="2" l="1"/>
  <c r="V19" i="2"/>
  <c r="K18" i="2"/>
  <c r="K19" i="2"/>
  <c r="U20" i="2" l="1"/>
  <c r="T20" i="2"/>
  <c r="S20" i="2"/>
  <c r="R20" i="2"/>
  <c r="Q20" i="2"/>
  <c r="P20" i="2"/>
  <c r="O20" i="2"/>
  <c r="N20" i="2"/>
  <c r="M20" i="2"/>
  <c r="L20" i="2"/>
  <c r="K20" i="2"/>
  <c r="Q36" i="16" l="1"/>
  <c r="Q35" i="16"/>
  <c r="N33" i="16"/>
  <c r="N36" i="16" s="1"/>
  <c r="S30" i="16" l="1"/>
  <c r="N35" i="16"/>
  <c r="O30" i="16" s="1"/>
  <c r="C40" i="18" l="1"/>
  <c r="G431" i="1" l="1"/>
  <c r="F82" i="3" s="1"/>
  <c r="I7" i="36" l="1"/>
  <c r="J7" i="36" s="1"/>
  <c r="I12" i="36" l="1"/>
  <c r="I16" i="36"/>
  <c r="M30" i="24" l="1"/>
  <c r="L26" i="17" l="1"/>
  <c r="G221" i="1" l="1"/>
  <c r="W23" i="38" l="1"/>
  <c r="L18" i="2" l="1"/>
  <c r="M18" i="2"/>
  <c r="N18" i="2"/>
  <c r="O18" i="2"/>
  <c r="P18" i="2"/>
  <c r="Q18" i="2"/>
  <c r="R18" i="2"/>
  <c r="S18" i="2"/>
  <c r="T18" i="2"/>
  <c r="U18" i="2"/>
  <c r="V8" i="2"/>
  <c r="V9" i="2"/>
  <c r="V10" i="2"/>
  <c r="V11" i="2"/>
  <c r="V12" i="2"/>
  <c r="V13" i="2"/>
  <c r="V14" i="2"/>
  <c r="V15" i="2"/>
  <c r="V16" i="2"/>
  <c r="V17" i="2"/>
  <c r="L7" i="2"/>
  <c r="M7" i="2"/>
  <c r="N7" i="2"/>
  <c r="O7" i="2"/>
  <c r="P7" i="2"/>
  <c r="Q7" i="2"/>
  <c r="R7" i="2"/>
  <c r="S7" i="2"/>
  <c r="T7" i="2"/>
  <c r="U7" i="2"/>
  <c r="V7" i="2" s="1"/>
  <c r="K8" i="2"/>
  <c r="K9" i="2"/>
  <c r="K10" i="2"/>
  <c r="K11" i="2"/>
  <c r="K12" i="2"/>
  <c r="K13" i="2"/>
  <c r="K14" i="2"/>
  <c r="K15" i="2"/>
  <c r="K16" i="2"/>
  <c r="K17" i="2"/>
  <c r="K7" i="2" l="1"/>
  <c r="G201" i="1"/>
  <c r="G192" i="1"/>
  <c r="G183" i="1"/>
  <c r="G174" i="1"/>
  <c r="G165" i="1"/>
  <c r="G156" i="1"/>
  <c r="G147" i="1" l="1"/>
  <c r="G138" i="1"/>
  <c r="G129" i="1"/>
  <c r="G120" i="1"/>
  <c r="W27" i="38" l="1"/>
  <c r="W26" i="38"/>
  <c r="W25" i="38"/>
  <c r="W24" i="38"/>
  <c r="W22" i="38"/>
  <c r="U11" i="38"/>
  <c r="V11" i="38" s="1"/>
  <c r="U10" i="38"/>
  <c r="U9" i="38"/>
  <c r="U17" i="38" s="1"/>
  <c r="U8" i="38"/>
  <c r="U7" i="38"/>
  <c r="U6" i="38"/>
  <c r="U5" i="38"/>
  <c r="W34" i="38"/>
  <c r="U34" i="38"/>
  <c r="X34" i="38" l="1"/>
  <c r="U18" i="38"/>
  <c r="U23" i="38" s="1"/>
  <c r="X23" i="38" s="1"/>
  <c r="U13" i="38"/>
  <c r="V12" i="38"/>
  <c r="U26" i="38" s="1"/>
  <c r="X26" i="38" s="1"/>
  <c r="U16" i="38"/>
  <c r="U14" i="38"/>
  <c r="U24" i="38"/>
  <c r="X24" i="38" s="1"/>
  <c r="U25" i="38"/>
  <c r="X25" i="38" s="1"/>
  <c r="E25" i="38"/>
  <c r="U27" i="38" l="1"/>
  <c r="X27" i="38" s="1"/>
  <c r="X29" i="38" s="1"/>
  <c r="U15" i="38"/>
  <c r="E29" i="38"/>
  <c r="E28" i="38"/>
  <c r="E27" i="38"/>
  <c r="E26" i="38"/>
  <c r="E24" i="38"/>
  <c r="E23" i="38"/>
  <c r="E22" i="38"/>
  <c r="E36" i="38"/>
  <c r="C36" i="38"/>
  <c r="C11" i="38"/>
  <c r="D11" i="38" s="1"/>
  <c r="C10" i="38"/>
  <c r="C9" i="38"/>
  <c r="C17" i="38" s="1"/>
  <c r="C22" i="38" s="1"/>
  <c r="C8" i="38"/>
  <c r="C7" i="38"/>
  <c r="C6" i="38"/>
  <c r="C5" i="38"/>
  <c r="U22" i="38" l="1"/>
  <c r="X22" i="38" s="1"/>
  <c r="X30" i="38" s="1"/>
  <c r="X31" i="38" s="1"/>
  <c r="F22" i="38"/>
  <c r="F36" i="38"/>
  <c r="C25" i="38"/>
  <c r="F25" i="38" s="1"/>
  <c r="C18" i="38"/>
  <c r="C26" i="38"/>
  <c r="F26" i="38" s="1"/>
  <c r="D12" i="38"/>
  <c r="C29" i="38" s="1"/>
  <c r="F29" i="38" s="1"/>
  <c r="C27" i="38"/>
  <c r="F27" i="38" s="1"/>
  <c r="C13" i="38"/>
  <c r="C16" i="38"/>
  <c r="C14" i="38"/>
  <c r="D40" i="36"/>
  <c r="D39" i="36"/>
  <c r="X35" i="38" l="1"/>
  <c r="C28" i="38"/>
  <c r="F28" i="38" s="1"/>
  <c r="F31" i="38" s="1"/>
  <c r="C15" i="38"/>
  <c r="E115" i="20"/>
  <c r="C115" i="20"/>
  <c r="F115" i="20" l="1"/>
  <c r="X32" i="38"/>
  <c r="G417" i="1"/>
  <c r="C23" i="38"/>
  <c r="F23" i="38" s="1"/>
  <c r="C24" i="38"/>
  <c r="F24" i="38" s="1"/>
  <c r="C94" i="20"/>
  <c r="E103" i="20"/>
  <c r="F32" i="38" l="1"/>
  <c r="F33" i="38" s="1"/>
  <c r="E108" i="20"/>
  <c r="F108" i="20" s="1"/>
  <c r="E107" i="20"/>
  <c r="F107" i="20" s="1"/>
  <c r="E106" i="20"/>
  <c r="F106" i="20" s="1"/>
  <c r="E105" i="20"/>
  <c r="F105" i="20" s="1"/>
  <c r="E104" i="20"/>
  <c r="F104" i="20" s="1"/>
  <c r="C83" i="20"/>
  <c r="E102" i="20"/>
  <c r="G406" i="1"/>
  <c r="F37" i="38" l="1"/>
  <c r="G410" i="1"/>
  <c r="F112" i="20"/>
  <c r="G404" i="1" s="1"/>
  <c r="E85" i="20"/>
  <c r="E87" i="20" s="1"/>
  <c r="C84" i="20" s="1"/>
  <c r="E404" i="1" s="1"/>
  <c r="C87" i="20"/>
  <c r="C92" i="20"/>
  <c r="C86" i="20"/>
  <c r="C7" i="36"/>
  <c r="C9" i="36"/>
  <c r="C8" i="36"/>
  <c r="E53" i="36"/>
  <c r="E52" i="36"/>
  <c r="E51" i="36"/>
  <c r="A48" i="36"/>
  <c r="A49" i="36" s="1"/>
  <c r="A52" i="36" s="1"/>
  <c r="F34" i="38" l="1"/>
  <c r="D7" i="36"/>
  <c r="B45" i="36"/>
  <c r="E40" i="36"/>
  <c r="E39" i="36"/>
  <c r="F87" i="20"/>
  <c r="C85" i="20"/>
  <c r="C89" i="20" s="1"/>
  <c r="C95" i="20" s="1"/>
  <c r="D35" i="36"/>
  <c r="A51" i="36"/>
  <c r="A53" i="36"/>
  <c r="Z41" i="16"/>
  <c r="Z43" i="16"/>
  <c r="Z44" i="16"/>
  <c r="Z42" i="16"/>
  <c r="V38" i="16"/>
  <c r="V39" i="16" s="1"/>
  <c r="C103" i="20" l="1"/>
  <c r="F103" i="20" s="1"/>
  <c r="F85" i="20"/>
  <c r="C91" i="20" s="1"/>
  <c r="C88" i="20"/>
  <c r="C93" i="20" s="1"/>
  <c r="A29" i="36"/>
  <c r="V41" i="16"/>
  <c r="V44" i="16"/>
  <c r="V43" i="16"/>
  <c r="Z30" i="16"/>
  <c r="V42" i="16"/>
  <c r="F258" i="1"/>
  <c r="C9" i="18"/>
  <c r="C97" i="20" l="1"/>
  <c r="C102" i="20" s="1"/>
  <c r="F102" i="20" s="1"/>
  <c r="F110" i="20" s="1"/>
  <c r="V30" i="16"/>
  <c r="J22" i="12"/>
  <c r="F116" i="20" l="1"/>
  <c r="F376" i="1"/>
  <c r="E28" i="20" l="1"/>
  <c r="E21" i="25" l="1"/>
  <c r="C6" i="25"/>
  <c r="C5" i="25"/>
  <c r="C4" i="25"/>
  <c r="C10" i="25" l="1"/>
  <c r="C15" i="25" l="1"/>
  <c r="G398" i="1"/>
  <c r="C21" i="25" l="1"/>
  <c r="F21" i="25" s="1"/>
  <c r="F23" i="25" s="1"/>
  <c r="F25" i="25" s="1"/>
  <c r="G396" i="1" l="1"/>
  <c r="F26" i="25"/>
  <c r="H397" i="1" l="1"/>
  <c r="E83" i="4"/>
  <c r="F63" i="1"/>
  <c r="E63" i="1"/>
  <c r="F16" i="1" l="1"/>
  <c r="E77" i="3" l="1"/>
  <c r="F77" i="3" s="1"/>
  <c r="E76" i="3"/>
  <c r="C76" i="3" l="1"/>
  <c r="F76" i="3" s="1"/>
  <c r="N27" i="24" l="1"/>
  <c r="N26" i="24"/>
  <c r="E28" i="24"/>
  <c r="E27" i="24"/>
  <c r="N25" i="24"/>
  <c r="N24" i="24"/>
  <c r="N23" i="24"/>
  <c r="N22" i="24"/>
  <c r="N21" i="24"/>
  <c r="M7" i="24"/>
  <c r="M6" i="24"/>
  <c r="M5" i="24"/>
  <c r="M10" i="24" l="1"/>
  <c r="L27" i="24"/>
  <c r="O27" i="24" s="1"/>
  <c r="L26" i="24"/>
  <c r="O26" i="24" s="1"/>
  <c r="M11" i="24"/>
  <c r="M12" i="24" s="1"/>
  <c r="L25" i="24" s="1"/>
  <c r="O25" i="24" s="1"/>
  <c r="I32" i="36"/>
  <c r="C31" i="36"/>
  <c r="E94" i="6"/>
  <c r="M16" i="24" l="1"/>
  <c r="L23" i="24" s="1"/>
  <c r="O23" i="24" s="1"/>
  <c r="F424" i="1"/>
  <c r="O10" i="24" s="1"/>
  <c r="O36" i="24" s="1"/>
  <c r="M15" i="24"/>
  <c r="L22" i="24" s="1"/>
  <c r="O22" i="24" s="1"/>
  <c r="M14" i="24"/>
  <c r="L21" i="24" s="1"/>
  <c r="O21" i="24" s="1"/>
  <c r="L24" i="24"/>
  <c r="O24" i="24" s="1"/>
  <c r="E23" i="19"/>
  <c r="M31" i="24" l="1"/>
  <c r="O33" i="24"/>
  <c r="G426" i="1"/>
  <c r="O31" i="24"/>
  <c r="F23" i="19"/>
  <c r="O34" i="24" l="1"/>
  <c r="G424" i="1"/>
  <c r="Q83" i="8"/>
  <c r="O84" i="8"/>
  <c r="R83" i="8" s="1"/>
  <c r="O83" i="8"/>
  <c r="W41" i="8" l="1"/>
  <c r="U42" i="8"/>
  <c r="X41" i="8" s="1"/>
  <c r="U41" i="8"/>
  <c r="O40" i="8" l="1"/>
  <c r="O39" i="8"/>
  <c r="E27" i="12" l="1"/>
  <c r="Q39" i="8" l="1"/>
  <c r="R39" i="8"/>
  <c r="J5" i="26" l="1"/>
  <c r="M11" i="26" l="1"/>
  <c r="M30" i="26"/>
  <c r="M22" i="26"/>
  <c r="M14" i="26"/>
  <c r="M25" i="26"/>
  <c r="M15" i="26"/>
  <c r="M29" i="26"/>
  <c r="M21" i="26"/>
  <c r="M13" i="26"/>
  <c r="M18" i="26"/>
  <c r="M24" i="26"/>
  <c r="M16" i="26"/>
  <c r="M28" i="26"/>
  <c r="M20" i="26"/>
  <c r="M12" i="26"/>
  <c r="M19" i="26"/>
  <c r="M17" i="26"/>
  <c r="M23" i="26"/>
  <c r="M27" i="26"/>
  <c r="M26" i="26"/>
  <c r="K36" i="8"/>
  <c r="C17" i="37" l="1"/>
  <c r="C18" i="37"/>
  <c r="E27" i="37" l="1"/>
  <c r="F27" i="37" s="1"/>
  <c r="E26" i="37"/>
  <c r="E25" i="37"/>
  <c r="C6" i="37"/>
  <c r="C5" i="37"/>
  <c r="C4" i="37"/>
  <c r="E17" i="37" s="1"/>
  <c r="F30" i="37" l="1"/>
  <c r="C9" i="37"/>
  <c r="C11" i="37"/>
  <c r="C14" i="37" l="1"/>
  <c r="C15" i="37" s="1"/>
  <c r="O23" i="23"/>
  <c r="O22" i="23"/>
  <c r="C26" i="37" l="1"/>
  <c r="F26" i="37" s="1"/>
  <c r="C25" i="37"/>
  <c r="F25" i="37" s="1"/>
  <c r="L10" i="23"/>
  <c r="M8" i="23"/>
  <c r="L26" i="23" s="1"/>
  <c r="M7" i="23"/>
  <c r="M6" i="23"/>
  <c r="F29" i="37" l="1"/>
  <c r="F33" i="37" s="1"/>
  <c r="L13" i="23"/>
  <c r="M10" i="23"/>
  <c r="L12" i="23"/>
  <c r="O20" i="9"/>
  <c r="O18" i="9"/>
  <c r="O19" i="9"/>
  <c r="M6" i="9"/>
  <c r="O25" i="9"/>
  <c r="M12" i="9" l="1"/>
  <c r="M7" i="9"/>
  <c r="M20" i="9"/>
  <c r="P20" i="9" s="1"/>
  <c r="G390" i="1"/>
  <c r="F31" i="37"/>
  <c r="F34" i="37" s="1"/>
  <c r="N13" i="23"/>
  <c r="N12" i="23"/>
  <c r="M11" i="9"/>
  <c r="O11" i="9" s="1"/>
  <c r="M18" i="9" s="1"/>
  <c r="P18" i="9" s="1"/>
  <c r="O12" i="9"/>
  <c r="M25" i="9"/>
  <c r="P25" i="9" s="1"/>
  <c r="W40" i="8"/>
  <c r="X40" i="8" s="1"/>
  <c r="Q38" i="8"/>
  <c r="R38" i="8" s="1"/>
  <c r="K30" i="27"/>
  <c r="L30" i="27" s="1"/>
  <c r="E30" i="27"/>
  <c r="F30" i="27" s="1"/>
  <c r="M23" i="23" l="1"/>
  <c r="P23" i="23" s="1"/>
  <c r="R23" i="23" s="1"/>
  <c r="M22" i="23"/>
  <c r="M10" i="9"/>
  <c r="M9" i="9"/>
  <c r="K84" i="8"/>
  <c r="L84" i="8" s="1"/>
  <c r="K38" i="8"/>
  <c r="L38" i="8" s="1"/>
  <c r="E39" i="8"/>
  <c r="F39" i="8" s="1"/>
  <c r="E68" i="16"/>
  <c r="F68" i="16" s="1"/>
  <c r="Z32" i="16"/>
  <c r="AA32" i="16" s="1"/>
  <c r="S31" i="16"/>
  <c r="T31" i="16" s="1"/>
  <c r="L31" i="16"/>
  <c r="M31" i="16" s="1"/>
  <c r="E30" i="16"/>
  <c r="F30" i="16" s="1"/>
  <c r="E90" i="4"/>
  <c r="F90" i="4" s="1"/>
  <c r="E41" i="4"/>
  <c r="F41" i="4" s="1"/>
  <c r="P22" i="23" l="1"/>
  <c r="R22" i="23" s="1"/>
  <c r="M19" i="9"/>
  <c r="P19" i="9" s="1"/>
  <c r="H25" i="23"/>
  <c r="P22" i="9" l="1"/>
  <c r="P26" i="9" s="1"/>
  <c r="E16" i="3"/>
  <c r="P23" i="9" l="1"/>
  <c r="G376" i="1" s="1"/>
  <c r="H377" i="1" s="1"/>
  <c r="S75" i="16"/>
  <c r="T75" i="16" s="1"/>
  <c r="L25" i="17" l="1"/>
  <c r="E69" i="6" l="1"/>
  <c r="E92" i="6" l="1"/>
  <c r="F91" i="6" s="1"/>
  <c r="C75" i="6" l="1"/>
  <c r="D74" i="6"/>
  <c r="C87" i="6" s="1"/>
  <c r="C74" i="6"/>
  <c r="E90" i="6"/>
  <c r="E93" i="6"/>
  <c r="E91" i="6"/>
  <c r="E88" i="6"/>
  <c r="E87" i="6"/>
  <c r="E89" i="6"/>
  <c r="E86" i="6"/>
  <c r="E85" i="6"/>
  <c r="E84" i="6"/>
  <c r="E83" i="6"/>
  <c r="F86" i="6" l="1"/>
  <c r="C93" i="6"/>
  <c r="F92" i="6" s="1"/>
  <c r="C88" i="6"/>
  <c r="F87" i="6" s="1"/>
  <c r="C60" i="6"/>
  <c r="C59" i="6"/>
  <c r="C58" i="6"/>
  <c r="E81" i="6"/>
  <c r="E82" i="6"/>
  <c r="C73" i="6" l="1"/>
  <c r="E73" i="6" s="1"/>
  <c r="C65" i="6"/>
  <c r="E65" i="6" s="1"/>
  <c r="C66" i="6"/>
  <c r="C89" i="6"/>
  <c r="C94" i="6"/>
  <c r="F93" i="6" s="1"/>
  <c r="J70" i="6"/>
  <c r="F68" i="6"/>
  <c r="G70" i="6" s="1"/>
  <c r="H70" i="6" s="1"/>
  <c r="E66" i="6"/>
  <c r="F65" i="6"/>
  <c r="C63" i="6"/>
  <c r="C61" i="6"/>
  <c r="D61" i="6" s="1"/>
  <c r="B102" i="6" s="1"/>
  <c r="C64" i="6"/>
  <c r="C91" i="6" s="1"/>
  <c r="B101" i="6" l="1"/>
  <c r="E61" i="6"/>
  <c r="C67" i="6" s="1"/>
  <c r="C68" i="6"/>
  <c r="F60" i="6"/>
  <c r="G66" i="6"/>
  <c r="C72" i="6"/>
  <c r="E72" i="6" s="1"/>
  <c r="I73" i="6" s="1"/>
  <c r="C69" i="6"/>
  <c r="C86" i="6" s="1"/>
  <c r="C71" i="6"/>
  <c r="E71" i="6" s="1"/>
  <c r="I74" i="6" s="1"/>
  <c r="C70" i="6"/>
  <c r="C90" i="6" s="1"/>
  <c r="F89" i="6" s="1"/>
  <c r="F90" i="6"/>
  <c r="E64" i="6"/>
  <c r="E63" i="6"/>
  <c r="I64" i="6" s="1"/>
  <c r="C42" i="11"/>
  <c r="E102" i="6" l="1"/>
  <c r="C85" i="6"/>
  <c r="F84" i="6" s="1"/>
  <c r="F437" i="1"/>
  <c r="C81" i="6"/>
  <c r="F80" i="6" s="1"/>
  <c r="I65" i="6"/>
  <c r="C82" i="6" s="1"/>
  <c r="F81" i="6" s="1"/>
  <c r="F85" i="6"/>
  <c r="F88" i="6"/>
  <c r="O73" i="16"/>
  <c r="C83" i="6" l="1"/>
  <c r="F82" i="6" s="1"/>
  <c r="C84" i="6"/>
  <c r="F83" i="6" s="1"/>
  <c r="D14" i="20"/>
  <c r="E14" i="20" s="1"/>
  <c r="F95" i="6" l="1"/>
  <c r="E29" i="20"/>
  <c r="J34" i="36" l="1"/>
  <c r="E21" i="14" l="1"/>
  <c r="E20" i="14"/>
  <c r="E23" i="24" l="1"/>
  <c r="E22" i="24"/>
  <c r="E29" i="17" l="1"/>
  <c r="F29" i="17" s="1"/>
  <c r="S71" i="16" l="1"/>
  <c r="P42" i="16"/>
  <c r="Q70" i="16" s="1"/>
  <c r="Q71" i="16" l="1"/>
  <c r="T71" i="16" s="1"/>
  <c r="E246" i="1" l="1"/>
  <c r="D246" i="1"/>
  <c r="E267" i="1"/>
  <c r="D267" i="1"/>
  <c r="D29" i="15" l="1"/>
  <c r="G306" i="1" l="1"/>
  <c r="S74" i="16" l="1"/>
  <c r="D34" i="36" l="1"/>
  <c r="I6" i="36" l="1"/>
  <c r="I5" i="36"/>
  <c r="J36" i="36"/>
  <c r="I28" i="36" l="1"/>
  <c r="J5" i="36"/>
  <c r="I11" i="36"/>
  <c r="I36" i="36"/>
  <c r="K36" i="36" s="1"/>
  <c r="H39" i="36"/>
  <c r="S73" i="16"/>
  <c r="I15" i="36" l="1"/>
  <c r="I29" i="36" s="1"/>
  <c r="I35" i="36" s="1"/>
  <c r="K35" i="36" s="1"/>
  <c r="J22" i="36"/>
  <c r="J23" i="36" s="1"/>
  <c r="I22" i="36"/>
  <c r="I23" i="36" s="1"/>
  <c r="E52" i="1"/>
  <c r="D36" i="36"/>
  <c r="D33" i="36"/>
  <c r="C6" i="36"/>
  <c r="C5" i="36"/>
  <c r="I34" i="36" s="1"/>
  <c r="B44" i="36" l="1"/>
  <c r="C12" i="36"/>
  <c r="C16" i="36"/>
  <c r="D5" i="36"/>
  <c r="K34" i="36"/>
  <c r="K38" i="36" s="1"/>
  <c r="B42" i="36"/>
  <c r="C36" i="36"/>
  <c r="E36" i="36" s="1"/>
  <c r="C11" i="36"/>
  <c r="C29" i="36" l="1"/>
  <c r="C35" i="36" s="1"/>
  <c r="E35" i="36" s="1"/>
  <c r="C13" i="36"/>
  <c r="E13" i="36" s="1"/>
  <c r="F13" i="36" s="1"/>
  <c r="C14" i="36"/>
  <c r="E14" i="36" s="1"/>
  <c r="F14" i="36" s="1"/>
  <c r="C15" i="36" l="1"/>
  <c r="C22" i="36" s="1"/>
  <c r="C28" i="36" s="1"/>
  <c r="C34" i="36" s="1"/>
  <c r="E34" i="36" s="1"/>
  <c r="E58" i="2"/>
  <c r="E55" i="2"/>
  <c r="C23" i="36" l="1"/>
  <c r="C27" i="36"/>
  <c r="C33" i="36" s="1"/>
  <c r="E33" i="36" s="1"/>
  <c r="C7" i="2"/>
  <c r="G23" i="2" s="1"/>
  <c r="E37" i="36" l="1"/>
  <c r="G32" i="2"/>
  <c r="C32" i="2" s="1"/>
  <c r="C23" i="2"/>
  <c r="I35" i="11"/>
  <c r="E41" i="36" l="1"/>
  <c r="E25" i="1"/>
  <c r="E26" i="2" l="1"/>
  <c r="M73" i="20" l="1"/>
  <c r="M72" i="20"/>
  <c r="N72" i="20" s="1"/>
  <c r="M71" i="20"/>
  <c r="M70" i="20"/>
  <c r="M69" i="20"/>
  <c r="M67" i="20"/>
  <c r="M66" i="20"/>
  <c r="M65" i="20"/>
  <c r="M64" i="20"/>
  <c r="M63" i="20"/>
  <c r="M62" i="20"/>
  <c r="M61" i="20"/>
  <c r="M68" i="20"/>
  <c r="K43" i="20"/>
  <c r="K42" i="20"/>
  <c r="K50" i="20" l="1"/>
  <c r="K80" i="20"/>
  <c r="K45" i="20"/>
  <c r="P69" i="20"/>
  <c r="Q69" i="20" s="1"/>
  <c r="K69" i="20" s="1"/>
  <c r="K70" i="20"/>
  <c r="N70" i="20" s="1"/>
  <c r="K71" i="20"/>
  <c r="N71" i="20" s="1"/>
  <c r="K68" i="20"/>
  <c r="N68" i="20" s="1"/>
  <c r="K52" i="20"/>
  <c r="K63" i="20" s="1"/>
  <c r="N63" i="20" s="1"/>
  <c r="K44" i="20"/>
  <c r="K66" i="20"/>
  <c r="N66" i="20" s="1"/>
  <c r="K53" i="20"/>
  <c r="K54" i="20" s="1"/>
  <c r="K67" i="20"/>
  <c r="N67" i="20" s="1"/>
  <c r="E65" i="20"/>
  <c r="E64" i="20"/>
  <c r="E63" i="20"/>
  <c r="E62" i="20"/>
  <c r="E61" i="20"/>
  <c r="E60" i="20"/>
  <c r="E59" i="20"/>
  <c r="C44" i="20"/>
  <c r="C43" i="20"/>
  <c r="C42" i="20"/>
  <c r="E44" i="1" l="1"/>
  <c r="K46" i="20"/>
  <c r="N69" i="20"/>
  <c r="K47" i="20"/>
  <c r="K65" i="20"/>
  <c r="N65" i="20" s="1"/>
  <c r="K64" i="20"/>
  <c r="N64" i="20" s="1"/>
  <c r="C49" i="20"/>
  <c r="C47" i="20" s="1"/>
  <c r="C48" i="20"/>
  <c r="C64" i="20"/>
  <c r="F64" i="20" s="1"/>
  <c r="C50" i="20"/>
  <c r="C51" i="20" s="1"/>
  <c r="C65" i="20"/>
  <c r="F65" i="20" s="1"/>
  <c r="C62" i="20" l="1"/>
  <c r="F62" i="20" s="1"/>
  <c r="K49" i="20"/>
  <c r="K56" i="20" s="1"/>
  <c r="K61" i="20" s="1"/>
  <c r="N61" i="20" s="1"/>
  <c r="K73" i="20"/>
  <c r="N73" i="20" s="1"/>
  <c r="K51" i="20"/>
  <c r="C61" i="20"/>
  <c r="F61" i="20" s="1"/>
  <c r="C54" i="20"/>
  <c r="C60" i="20" s="1"/>
  <c r="C63" i="20"/>
  <c r="F63" i="20" s="1"/>
  <c r="K57" i="20" l="1"/>
  <c r="K62" i="20" s="1"/>
  <c r="N62" i="20" s="1"/>
  <c r="N75" i="20" s="1"/>
  <c r="N77" i="20" s="1"/>
  <c r="C53" i="20"/>
  <c r="C59" i="20" s="1"/>
  <c r="F59" i="20" s="1"/>
  <c r="F60" i="20"/>
  <c r="G42" i="1" l="1"/>
  <c r="F68" i="20"/>
  <c r="F70" i="20" s="1"/>
  <c r="Q81" i="8"/>
  <c r="K82" i="8"/>
  <c r="E83" i="8"/>
  <c r="W39" i="8"/>
  <c r="X39" i="8" s="1"/>
  <c r="W38" i="8"/>
  <c r="W37" i="8"/>
  <c r="W36" i="8"/>
  <c r="Q37" i="8"/>
  <c r="Q36" i="8"/>
  <c r="K37" i="8"/>
  <c r="E37" i="8"/>
  <c r="F71" i="20" l="1"/>
  <c r="G284" i="1"/>
  <c r="E22" i="19" l="1"/>
  <c r="E23" i="17"/>
  <c r="E27" i="18"/>
  <c r="E28" i="18"/>
  <c r="E15" i="3" l="1"/>
  <c r="J8" i="15" l="1"/>
  <c r="K28" i="15"/>
  <c r="K29" i="15"/>
  <c r="J7" i="15"/>
  <c r="J6" i="15"/>
  <c r="J5" i="15"/>
  <c r="I37" i="15" l="1"/>
  <c r="J12" i="15"/>
  <c r="J29" i="15" s="1"/>
  <c r="J13" i="15"/>
  <c r="J28" i="15" s="1"/>
  <c r="L28" i="15" s="1"/>
  <c r="L18" i="15"/>
  <c r="L17" i="15" l="1"/>
  <c r="L29" i="15" s="1"/>
  <c r="L31" i="15" s="1"/>
  <c r="G313" i="1"/>
  <c r="E105" i="1" l="1"/>
  <c r="E112" i="1"/>
  <c r="E46" i="6" l="1"/>
  <c r="E44" i="6"/>
  <c r="A41" i="6"/>
  <c r="S69" i="16" l="1"/>
  <c r="S70" i="16"/>
  <c r="S68" i="16" l="1"/>
  <c r="O82" i="16"/>
  <c r="O83" i="16" s="1"/>
  <c r="Q73" i="16" s="1"/>
  <c r="T70" i="16" l="1"/>
  <c r="S85" i="16"/>
  <c r="S86" i="16"/>
  <c r="S87" i="16"/>
  <c r="S88" i="16"/>
  <c r="S89" i="16"/>
  <c r="P50" i="16"/>
  <c r="P53" i="16" s="1"/>
  <c r="Q69" i="16" l="1"/>
  <c r="T69" i="16" s="1"/>
  <c r="P54" i="16"/>
  <c r="D25" i="1" l="1"/>
  <c r="E39" i="6" l="1"/>
  <c r="E38" i="6"/>
  <c r="A35" i="6"/>
  <c r="A36" i="6" s="1"/>
  <c r="A39" i="6" s="1"/>
  <c r="E27" i="6" l="1"/>
  <c r="A38" i="6"/>
  <c r="A27" i="6" s="1"/>
  <c r="I28" i="6" s="1"/>
  <c r="T82" i="7"/>
  <c r="T81" i="7"/>
  <c r="T80" i="7"/>
  <c r="T79" i="7"/>
  <c r="T78" i="7"/>
  <c r="T77" i="7"/>
  <c r="T76" i="7"/>
  <c r="T75" i="7"/>
  <c r="T74" i="7"/>
  <c r="S54" i="7" l="1"/>
  <c r="S51" i="7"/>
  <c r="S50" i="7"/>
  <c r="R87" i="7" l="1"/>
  <c r="R65" i="7"/>
  <c r="R64" i="7"/>
  <c r="Q55" i="7"/>
  <c r="V55" i="7" s="1"/>
  <c r="S52" i="7"/>
  <c r="S53" i="7"/>
  <c r="R66" i="7"/>
  <c r="R78" i="7"/>
  <c r="U78" i="7" s="1"/>
  <c r="R67" i="7"/>
  <c r="R68" i="7"/>
  <c r="R79" i="7" s="1"/>
  <c r="U79" i="7" s="1"/>
  <c r="R81" i="7"/>
  <c r="U81" i="7" s="1"/>
  <c r="R80" i="7" l="1"/>
  <c r="U80" i="7" s="1"/>
  <c r="U55" i="7"/>
  <c r="E37" i="1"/>
  <c r="F37" i="1" s="1"/>
  <c r="R61" i="7"/>
  <c r="P45" i="16"/>
  <c r="P47" i="16"/>
  <c r="P44" i="16" s="1"/>
  <c r="P46" i="16"/>
  <c r="S72" i="16"/>
  <c r="E82" i="7"/>
  <c r="E81" i="7"/>
  <c r="E80" i="7"/>
  <c r="E79" i="7"/>
  <c r="E78" i="7"/>
  <c r="E77" i="7"/>
  <c r="E76" i="7"/>
  <c r="E75" i="7"/>
  <c r="E74" i="7"/>
  <c r="D54" i="7"/>
  <c r="D51" i="7"/>
  <c r="D50" i="7"/>
  <c r="Q81" i="16" l="1"/>
  <c r="Q74" i="16"/>
  <c r="T74" i="16" s="1"/>
  <c r="P43" i="16"/>
  <c r="P58" i="16"/>
  <c r="H79" i="7"/>
  <c r="H86" i="7"/>
  <c r="H76" i="7"/>
  <c r="H81" i="7"/>
  <c r="H85" i="7"/>
  <c r="H82" i="7"/>
  <c r="I88" i="7"/>
  <c r="I79" i="7"/>
  <c r="I86" i="7"/>
  <c r="I76" i="7"/>
  <c r="C67" i="7"/>
  <c r="C87" i="7"/>
  <c r="P55" i="16"/>
  <c r="P59" i="16"/>
  <c r="S55" i="7"/>
  <c r="S56" i="7"/>
  <c r="R59" i="7" s="1"/>
  <c r="T59" i="7" s="1"/>
  <c r="R74" i="7" s="1"/>
  <c r="U74" i="7" s="1"/>
  <c r="P49" i="16"/>
  <c r="P48" i="16"/>
  <c r="O89" i="16"/>
  <c r="O85" i="16"/>
  <c r="O87" i="16"/>
  <c r="O88" i="16"/>
  <c r="O86" i="16"/>
  <c r="A55" i="7"/>
  <c r="C66" i="7"/>
  <c r="C64" i="7"/>
  <c r="D53" i="7"/>
  <c r="C65" i="7"/>
  <c r="C78" i="7"/>
  <c r="F78" i="7" s="1"/>
  <c r="C68" i="7"/>
  <c r="C80" i="7" s="1"/>
  <c r="F80" i="7" s="1"/>
  <c r="C81" i="7"/>
  <c r="F81" i="7" s="1"/>
  <c r="D52" i="7"/>
  <c r="Q72" i="16" l="1"/>
  <c r="T72" i="16" s="1"/>
  <c r="T73" i="16"/>
  <c r="P52" i="16"/>
  <c r="P56" i="16" s="1"/>
  <c r="P57" i="16" s="1"/>
  <c r="R82" i="7"/>
  <c r="U82" i="7" s="1"/>
  <c r="R63" i="7"/>
  <c r="R71" i="7"/>
  <c r="R77" i="7" s="1"/>
  <c r="U77" i="7" s="1"/>
  <c r="R62" i="7"/>
  <c r="R70" i="7"/>
  <c r="R76" i="7" s="1"/>
  <c r="U76" i="7" s="1"/>
  <c r="R60" i="7"/>
  <c r="T60" i="7" s="1"/>
  <c r="O72" i="16"/>
  <c r="E77" i="1" s="1"/>
  <c r="B55" i="7"/>
  <c r="D55" i="7" s="1"/>
  <c r="F55" i="7" s="1"/>
  <c r="D56" i="7" s="1"/>
  <c r="C61" i="7"/>
  <c r="C79" i="7"/>
  <c r="F79" i="7" s="1"/>
  <c r="T78" i="16" l="1"/>
  <c r="G73" i="1" s="1"/>
  <c r="G55" i="7"/>
  <c r="E30" i="1" s="1"/>
  <c r="F30" i="1" s="1"/>
  <c r="P63" i="16"/>
  <c r="Q68" i="16" s="1"/>
  <c r="T68" i="16" s="1"/>
  <c r="T77" i="16" s="1"/>
  <c r="R75" i="7"/>
  <c r="U75" i="7" s="1"/>
  <c r="U84" i="7" s="1"/>
  <c r="C82" i="7"/>
  <c r="F82" i="7" s="1"/>
  <c r="C70" i="7"/>
  <c r="C76" i="7" s="1"/>
  <c r="F76" i="7" s="1"/>
  <c r="C63" i="7"/>
  <c r="C62" i="7"/>
  <c r="C71" i="7"/>
  <c r="C77" i="7" s="1"/>
  <c r="F77" i="7" s="1"/>
  <c r="P64" i="16" l="1"/>
  <c r="C59" i="7"/>
  <c r="E59" i="7" s="1"/>
  <c r="C74" i="7" s="1"/>
  <c r="F74" i="7" s="1"/>
  <c r="C60" i="7"/>
  <c r="E60" i="7" s="1"/>
  <c r="C75" i="7" s="1"/>
  <c r="F75" i="7" s="1"/>
  <c r="F84" i="7" l="1"/>
  <c r="M87" i="7" l="1"/>
  <c r="N87" i="7"/>
  <c r="M86" i="7"/>
  <c r="N86" i="7"/>
  <c r="M85" i="7"/>
  <c r="N85" i="7"/>
  <c r="M84" i="7"/>
  <c r="N84" i="7"/>
  <c r="M83" i="7"/>
  <c r="N83" i="7"/>
  <c r="M82" i="7"/>
  <c r="N82" i="7"/>
  <c r="M81" i="7"/>
  <c r="N81" i="7"/>
  <c r="N80" i="7"/>
  <c r="M80" i="7"/>
  <c r="N79" i="7"/>
  <c r="M79" i="7"/>
  <c r="M78" i="7"/>
  <c r="N78" i="7"/>
  <c r="M76" i="7"/>
  <c r="N76" i="7"/>
  <c r="M75" i="7"/>
  <c r="N75" i="7"/>
  <c r="N74" i="7"/>
  <c r="M74" i="7"/>
  <c r="L46" i="16" l="1"/>
  <c r="L45" i="16"/>
  <c r="L44" i="16"/>
  <c r="L43" i="16"/>
  <c r="L42" i="16"/>
  <c r="H39" i="16"/>
  <c r="E73" i="16"/>
  <c r="C73" i="16"/>
  <c r="E36" i="16"/>
  <c r="C36" i="16"/>
  <c r="Z37" i="16"/>
  <c r="X37" i="16"/>
  <c r="S38" i="16"/>
  <c r="Q38" i="16"/>
  <c r="L36" i="16"/>
  <c r="J36" i="16"/>
  <c r="Q43" i="27"/>
  <c r="Q42" i="27"/>
  <c r="Q41" i="27"/>
  <c r="Q40" i="27"/>
  <c r="Q39" i="27"/>
  <c r="M36" i="27"/>
  <c r="M37" i="27" s="1"/>
  <c r="Q99" i="8"/>
  <c r="Q98" i="8"/>
  <c r="Q97" i="8"/>
  <c r="Q96" i="8"/>
  <c r="Q95" i="8"/>
  <c r="M92" i="8"/>
  <c r="M93" i="8" s="1"/>
  <c r="H83" i="7" l="1"/>
  <c r="I83" i="7"/>
  <c r="H84" i="7"/>
  <c r="I84" i="7"/>
  <c r="H87" i="7"/>
  <c r="I87" i="7"/>
  <c r="H74" i="7"/>
  <c r="I74" i="7"/>
  <c r="H75" i="7"/>
  <c r="I75" i="7"/>
  <c r="H80" i="7"/>
  <c r="I80" i="7"/>
  <c r="H78" i="7"/>
  <c r="I78" i="7"/>
  <c r="AA37" i="16"/>
  <c r="F36" i="16"/>
  <c r="T38" i="16"/>
  <c r="M36" i="16"/>
  <c r="F73" i="16"/>
  <c r="Q82" i="8"/>
  <c r="H40" i="16"/>
  <c r="H44" i="16" s="1"/>
  <c r="M42" i="27"/>
  <c r="M39" i="27"/>
  <c r="Q29" i="27"/>
  <c r="M41" i="27"/>
  <c r="M40" i="27"/>
  <c r="M43" i="27"/>
  <c r="M95" i="8"/>
  <c r="M99" i="8"/>
  <c r="M96" i="8"/>
  <c r="M97" i="8"/>
  <c r="M98" i="8"/>
  <c r="L30" i="16" l="1"/>
  <c r="H43" i="16"/>
  <c r="H46" i="16"/>
  <c r="H45" i="16"/>
  <c r="H42" i="16"/>
  <c r="H30" i="16" s="1"/>
  <c r="E98" i="1" s="1"/>
  <c r="M29" i="27"/>
  <c r="E174" i="1" s="1"/>
  <c r="M82" i="8"/>
  <c r="E201" i="1" s="1"/>
  <c r="A90" i="8"/>
  <c r="A91" i="8" s="1"/>
  <c r="E97" i="8"/>
  <c r="E96" i="8"/>
  <c r="E95" i="8"/>
  <c r="E94" i="8"/>
  <c r="E93" i="8"/>
  <c r="E84" i="8" l="1"/>
  <c r="A96" i="8" l="1"/>
  <c r="A93" i="8"/>
  <c r="A97" i="8"/>
  <c r="A95" i="8"/>
  <c r="A94" i="8"/>
  <c r="M30" i="6"/>
  <c r="E29" i="6"/>
  <c r="A84" i="8" l="1"/>
  <c r="E66" i="1"/>
  <c r="Z31" i="16" l="1"/>
  <c r="Q28" i="27" l="1"/>
  <c r="R28" i="27" s="1"/>
  <c r="Q27" i="27"/>
  <c r="K29" i="27" l="1"/>
  <c r="L29" i="27" s="1"/>
  <c r="K28" i="27"/>
  <c r="O6" i="27"/>
  <c r="O8" i="27" s="1"/>
  <c r="O12" i="27" s="1"/>
  <c r="O5" i="27"/>
  <c r="O4" i="27"/>
  <c r="O31" i="27" s="1"/>
  <c r="I6" i="27"/>
  <c r="I8" i="27" s="1"/>
  <c r="I5" i="27"/>
  <c r="I4" i="27"/>
  <c r="I32" i="27" s="1"/>
  <c r="G172" i="1"/>
  <c r="G163" i="1"/>
  <c r="E29" i="27"/>
  <c r="C6" i="27"/>
  <c r="C8" i="27" s="1"/>
  <c r="C12" i="27" s="1"/>
  <c r="C4" i="27"/>
  <c r="C32" i="27" s="1"/>
  <c r="C5" i="27"/>
  <c r="G154" i="1"/>
  <c r="C11" i="27" l="1"/>
  <c r="I16" i="27"/>
  <c r="I11" i="27"/>
  <c r="O16" i="27"/>
  <c r="O11" i="27"/>
  <c r="O29" i="27" s="1"/>
  <c r="R29" i="27" s="1"/>
  <c r="H34" i="27"/>
  <c r="N33" i="27"/>
  <c r="O9" i="27"/>
  <c r="I12" i="27"/>
  <c r="I9" i="27"/>
  <c r="C9" i="27"/>
  <c r="B34" i="27"/>
  <c r="O14" i="27" l="1"/>
  <c r="O15" i="27" s="1"/>
  <c r="O21" i="27" s="1"/>
  <c r="I14" i="27"/>
  <c r="I15" i="27" s="1"/>
  <c r="C14" i="27"/>
  <c r="C15" i="27" s="1"/>
  <c r="C20" i="27" s="1"/>
  <c r="C26" i="27" s="1"/>
  <c r="I34" i="11"/>
  <c r="I21" i="27" l="1"/>
  <c r="I22" i="27" s="1"/>
  <c r="O22" i="27"/>
  <c r="O24" i="27"/>
  <c r="O27" i="27"/>
  <c r="R27" i="27" s="1"/>
  <c r="P33" i="27" s="1"/>
  <c r="P34" i="27" s="1"/>
  <c r="C29" i="27"/>
  <c r="F29" i="27" s="1"/>
  <c r="C21" i="27"/>
  <c r="D34" i="27" l="1"/>
  <c r="D35" i="27" s="1"/>
  <c r="G152" i="1" s="1"/>
  <c r="I25" i="27"/>
  <c r="I28" i="27"/>
  <c r="N34" i="27"/>
  <c r="G170" i="1"/>
  <c r="E36" i="4"/>
  <c r="L28" i="27" l="1"/>
  <c r="B35" i="27"/>
  <c r="J34" i="27" l="1"/>
  <c r="J35" i="27" s="1"/>
  <c r="G161" i="1" s="1"/>
  <c r="C57" i="4"/>
  <c r="H35" i="27" l="1"/>
  <c r="E66" i="4"/>
  <c r="I33" i="11" l="1"/>
  <c r="E26" i="12" l="1"/>
  <c r="H15" i="6" l="1"/>
  <c r="E85" i="4" l="1"/>
  <c r="E84" i="4"/>
  <c r="E89" i="4" l="1"/>
  <c r="E88" i="4"/>
  <c r="E87" i="4"/>
  <c r="E86" i="4"/>
  <c r="E82" i="4"/>
  <c r="E81" i="4"/>
  <c r="C58" i="4" l="1"/>
  <c r="C56" i="4"/>
  <c r="C76" i="4" s="1"/>
  <c r="C60" i="4"/>
  <c r="C61" i="4"/>
  <c r="C75" i="4" l="1"/>
  <c r="C96" i="4"/>
  <c r="J94" i="4"/>
  <c r="C62" i="4"/>
  <c r="E62" i="4" s="1"/>
  <c r="C84" i="4" s="1"/>
  <c r="I83" i="4"/>
  <c r="J83" i="4" s="1"/>
  <c r="M83" i="4" s="1"/>
  <c r="I82" i="4"/>
  <c r="J82" i="4" s="1"/>
  <c r="M82" i="4" s="1"/>
  <c r="I81" i="4"/>
  <c r="J81" i="4" s="1"/>
  <c r="M81" i="4" s="1"/>
  <c r="I85" i="4"/>
  <c r="I84" i="4"/>
  <c r="J84" i="4" s="1"/>
  <c r="I86" i="4"/>
  <c r="J86" i="4" s="1"/>
  <c r="J85" i="4"/>
  <c r="C63" i="4"/>
  <c r="E63" i="4" s="1"/>
  <c r="C64" i="4"/>
  <c r="E64" i="4" s="1"/>
  <c r="C83" i="4" s="1"/>
  <c r="F83" i="4" s="1"/>
  <c r="C69" i="4"/>
  <c r="E69" i="4" s="1"/>
  <c r="C70" i="4"/>
  <c r="E70" i="4" s="1"/>
  <c r="C68" i="4"/>
  <c r="E68" i="4" s="1"/>
  <c r="K84" i="4" l="1"/>
  <c r="F68" i="4"/>
  <c r="K85" i="4"/>
  <c r="K86" i="4"/>
  <c r="F70" i="4"/>
  <c r="F69" i="4"/>
  <c r="C85" i="4"/>
  <c r="F85" i="4" s="1"/>
  <c r="F84" i="4"/>
  <c r="E57" i="2"/>
  <c r="C40" i="11" l="1"/>
  <c r="C41" i="11"/>
  <c r="C46" i="11"/>
  <c r="E147" i="1" l="1"/>
  <c r="E18" i="3" l="1"/>
  <c r="K80" i="8" l="1"/>
  <c r="E28" i="7" l="1"/>
  <c r="E35" i="7" l="1"/>
  <c r="M26" i="6" l="1"/>
  <c r="E25" i="6"/>
  <c r="O34" i="11" l="1"/>
  <c r="E27" i="2" l="1"/>
  <c r="C94" i="21" l="1"/>
  <c r="K37" i="15" l="1"/>
  <c r="L37" i="15" s="1"/>
  <c r="L38" i="15" s="1"/>
  <c r="D37" i="15"/>
  <c r="D45" i="36"/>
  <c r="E45" i="36" s="1"/>
  <c r="D44" i="36"/>
  <c r="E44" i="36" s="1"/>
  <c r="N26" i="23"/>
  <c r="O26" i="23" s="1"/>
  <c r="D102" i="6"/>
  <c r="D101" i="6"/>
  <c r="E101" i="6" s="1"/>
  <c r="E103" i="6" s="1"/>
  <c r="J39" i="36"/>
  <c r="K39" i="36" s="1"/>
  <c r="K40" i="36" s="1"/>
  <c r="D42" i="36"/>
  <c r="E42" i="36" s="1"/>
  <c r="E43" i="36" s="1"/>
  <c r="E63" i="2"/>
  <c r="M80" i="20"/>
  <c r="N80" i="20" s="1"/>
  <c r="N81" i="20" s="1"/>
  <c r="S81" i="16"/>
  <c r="T81" i="16" s="1"/>
  <c r="T82" i="16" s="1"/>
  <c r="T87" i="7"/>
  <c r="U87" i="7" s="1"/>
  <c r="U88" i="7" s="1"/>
  <c r="E87" i="7"/>
  <c r="F87" i="7" s="1"/>
  <c r="F88" i="7" s="1"/>
  <c r="L26" i="13"/>
  <c r="E25" i="14"/>
  <c r="E30" i="13"/>
  <c r="I37" i="11"/>
  <c r="E47" i="4"/>
  <c r="L94" i="4"/>
  <c r="M94" i="4" s="1"/>
  <c r="E96" i="4"/>
  <c r="F96" i="4" s="1"/>
  <c r="D52" i="11"/>
  <c r="E40" i="7"/>
  <c r="E22" i="3"/>
  <c r="L36" i="6"/>
  <c r="N45" i="11"/>
  <c r="E36" i="2"/>
  <c r="E34" i="7"/>
  <c r="E33" i="7"/>
  <c r="E32" i="7"/>
  <c r="E31" i="7"/>
  <c r="E30" i="7"/>
  <c r="E29" i="7"/>
  <c r="E27" i="7"/>
  <c r="P27" i="23" l="1"/>
  <c r="P24" i="23"/>
  <c r="P29" i="23" s="1"/>
  <c r="G383" i="1" s="1"/>
  <c r="E46" i="36"/>
  <c r="E48" i="36"/>
  <c r="L33" i="15"/>
  <c r="G335" i="1"/>
  <c r="G363" i="1"/>
  <c r="F96" i="6"/>
  <c r="G441" i="1" s="1"/>
  <c r="F97" i="6"/>
  <c r="G385" i="1"/>
  <c r="L88" i="7"/>
  <c r="M88" i="7" s="1"/>
  <c r="N88" i="7" s="1"/>
  <c r="G37" i="1"/>
  <c r="L76" i="7"/>
  <c r="L79" i="7"/>
  <c r="L77" i="7"/>
  <c r="L74" i="7"/>
  <c r="L87" i="7"/>
  <c r="L86" i="7"/>
  <c r="L75" i="7"/>
  <c r="L82" i="7"/>
  <c r="L78" i="7"/>
  <c r="L80" i="7"/>
  <c r="L85" i="7"/>
  <c r="L83" i="7"/>
  <c r="L81" i="7"/>
  <c r="L84" i="7"/>
  <c r="T79" i="16"/>
  <c r="G75" i="1"/>
  <c r="G44" i="1"/>
  <c r="N78" i="20"/>
  <c r="J88" i="7"/>
  <c r="H88" i="7" s="1"/>
  <c r="G30" i="1"/>
  <c r="J85" i="7"/>
  <c r="I85" i="7" s="1"/>
  <c r="J81" i="7"/>
  <c r="I81" i="7" s="1"/>
  <c r="J87" i="7"/>
  <c r="J82" i="7"/>
  <c r="I82" i="7" s="1"/>
  <c r="J77" i="7"/>
  <c r="J79" i="7"/>
  <c r="J84" i="7"/>
  <c r="J75" i="7"/>
  <c r="J76" i="7"/>
  <c r="J74" i="7"/>
  <c r="J83" i="7"/>
  <c r="J86" i="7"/>
  <c r="J80" i="7"/>
  <c r="J78" i="7"/>
  <c r="G361" i="1"/>
  <c r="K42" i="36"/>
  <c r="G368" i="1" s="1"/>
  <c r="G370" i="1"/>
  <c r="E67" i="16"/>
  <c r="F67" i="16" s="1"/>
  <c r="E66" i="16"/>
  <c r="E29" i="16"/>
  <c r="E65" i="16"/>
  <c r="P30" i="23" l="1"/>
  <c r="L34" i="15"/>
  <c r="G333" i="1"/>
  <c r="H369" i="1"/>
  <c r="H74" i="1"/>
  <c r="H384" i="1"/>
  <c r="H43" i="1"/>
  <c r="G439" i="1"/>
  <c r="F98" i="6"/>
  <c r="H440" i="1" s="1"/>
  <c r="K43" i="36"/>
  <c r="E49" i="36"/>
  <c r="M77" i="7"/>
  <c r="M90" i="7" s="1"/>
  <c r="N77" i="7"/>
  <c r="N90" i="7" s="1"/>
  <c r="H77" i="7"/>
  <c r="H90" i="7" s="1"/>
  <c r="I77" i="7"/>
  <c r="I90" i="7" s="1"/>
  <c r="E17" i="3"/>
  <c r="F17" i="3" s="1"/>
  <c r="H334" i="1" l="1"/>
  <c r="H362" i="1"/>
  <c r="N92" i="7"/>
  <c r="U85" i="7" s="1"/>
  <c r="U90" i="7" s="1"/>
  <c r="I92" i="7"/>
  <c r="F85" i="7" s="1"/>
  <c r="G28" i="1" s="1"/>
  <c r="O51" i="8"/>
  <c r="H29" i="1" l="1"/>
  <c r="G35" i="1"/>
  <c r="F90" i="7"/>
  <c r="C6" i="6"/>
  <c r="P30" i="26"/>
  <c r="O30" i="26"/>
  <c r="I30" i="26"/>
  <c r="G30" i="26"/>
  <c r="F30" i="26"/>
  <c r="P29" i="26"/>
  <c r="O29" i="26"/>
  <c r="I29" i="26"/>
  <c r="G29" i="26"/>
  <c r="F29" i="26"/>
  <c r="P28" i="26"/>
  <c r="O28" i="26"/>
  <c r="I28" i="26"/>
  <c r="G28" i="26"/>
  <c r="F28" i="26"/>
  <c r="P27" i="26"/>
  <c r="O27" i="26"/>
  <c r="I27" i="26"/>
  <c r="G27" i="26"/>
  <c r="H27" i="26" s="1"/>
  <c r="F27" i="26"/>
  <c r="P26" i="26"/>
  <c r="O26" i="26"/>
  <c r="I26" i="26"/>
  <c r="G26" i="26"/>
  <c r="F26" i="26"/>
  <c r="P25" i="26"/>
  <c r="O25" i="26"/>
  <c r="I25" i="26"/>
  <c r="G25" i="26"/>
  <c r="H25" i="26" s="1"/>
  <c r="F25" i="26"/>
  <c r="P24" i="26"/>
  <c r="O24" i="26"/>
  <c r="I24" i="26"/>
  <c r="G24" i="26"/>
  <c r="F24" i="26"/>
  <c r="P23" i="26"/>
  <c r="O23" i="26"/>
  <c r="I23" i="26"/>
  <c r="G23" i="26"/>
  <c r="F23" i="26"/>
  <c r="P22" i="26"/>
  <c r="O22" i="26"/>
  <c r="I22" i="26"/>
  <c r="G22" i="26"/>
  <c r="F22" i="26"/>
  <c r="P21" i="26"/>
  <c r="O21" i="26"/>
  <c r="I21" i="26"/>
  <c r="G21" i="26"/>
  <c r="F21" i="26"/>
  <c r="P20" i="26"/>
  <c r="O20" i="26"/>
  <c r="I20" i="26"/>
  <c r="G20" i="26"/>
  <c r="F20" i="26"/>
  <c r="P19" i="26"/>
  <c r="O19" i="26"/>
  <c r="I19" i="26"/>
  <c r="G19" i="26"/>
  <c r="H19" i="26" s="1"/>
  <c r="F19" i="26"/>
  <c r="P18" i="26"/>
  <c r="O18" i="26"/>
  <c r="I18" i="26"/>
  <c r="G18" i="26"/>
  <c r="F18" i="26"/>
  <c r="P17" i="26"/>
  <c r="O17" i="26"/>
  <c r="I17" i="26"/>
  <c r="G17" i="26"/>
  <c r="H17" i="26" s="1"/>
  <c r="F17" i="26"/>
  <c r="P16" i="26"/>
  <c r="O16" i="26"/>
  <c r="I16" i="26"/>
  <c r="G16" i="26"/>
  <c r="F16" i="26"/>
  <c r="P15" i="26"/>
  <c r="O15" i="26"/>
  <c r="I15" i="26"/>
  <c r="G15" i="26"/>
  <c r="F15" i="26"/>
  <c r="P14" i="26"/>
  <c r="O14" i="26"/>
  <c r="I14" i="26"/>
  <c r="G14" i="26"/>
  <c r="F14" i="26"/>
  <c r="P13" i="26"/>
  <c r="O13" i="26"/>
  <c r="I13" i="26"/>
  <c r="G13" i="26"/>
  <c r="F13" i="26"/>
  <c r="P12" i="26"/>
  <c r="O12" i="26"/>
  <c r="I12" i="26"/>
  <c r="G12" i="26"/>
  <c r="F12" i="26"/>
  <c r="P11" i="26"/>
  <c r="O11" i="26"/>
  <c r="I11" i="26"/>
  <c r="G11" i="26"/>
  <c r="H11" i="26" s="1"/>
  <c r="F11" i="26"/>
  <c r="J4" i="26"/>
  <c r="L29" i="26" s="1"/>
  <c r="R29" i="26" s="1"/>
  <c r="C10" i="6" l="1"/>
  <c r="E10" i="6" s="1"/>
  <c r="C9" i="6"/>
  <c r="C11" i="6"/>
  <c r="H24" i="26"/>
  <c r="J24" i="26" s="1"/>
  <c r="H13" i="26"/>
  <c r="H21" i="26"/>
  <c r="J21" i="26" s="1"/>
  <c r="H29" i="26"/>
  <c r="J29" i="26" s="1"/>
  <c r="S29" i="26" s="1"/>
  <c r="J11" i="26"/>
  <c r="H26" i="26"/>
  <c r="J26" i="26" s="1"/>
  <c r="H16" i="26"/>
  <c r="J16" i="26" s="1"/>
  <c r="J13" i="26"/>
  <c r="H23" i="26"/>
  <c r="J23" i="26" s="1"/>
  <c r="J19" i="26"/>
  <c r="H15" i="26"/>
  <c r="J15" i="26" s="1"/>
  <c r="H12" i="26"/>
  <c r="J12" i="26" s="1"/>
  <c r="H20" i="26"/>
  <c r="J20" i="26" s="1"/>
  <c r="H28" i="26"/>
  <c r="J28" i="26" s="1"/>
  <c r="H18" i="26"/>
  <c r="J18" i="26" s="1"/>
  <c r="J27" i="26"/>
  <c r="H14" i="26"/>
  <c r="J14" i="26" s="1"/>
  <c r="J17" i="26"/>
  <c r="H22" i="26"/>
  <c r="J22" i="26" s="1"/>
  <c r="J25" i="26"/>
  <c r="H30" i="26"/>
  <c r="J30" i="26" s="1"/>
  <c r="H36" i="1"/>
  <c r="C8" i="6"/>
  <c r="D8" i="6" s="1"/>
  <c r="L12" i="26"/>
  <c r="R12" i="26" s="1"/>
  <c r="L14" i="26"/>
  <c r="R14" i="26" s="1"/>
  <c r="L16" i="26"/>
  <c r="R16" i="26" s="1"/>
  <c r="L18" i="26"/>
  <c r="R18" i="26" s="1"/>
  <c r="L20" i="26"/>
  <c r="R20" i="26" s="1"/>
  <c r="L22" i="26"/>
  <c r="R22" i="26" s="1"/>
  <c r="L24" i="26"/>
  <c r="R24" i="26" s="1"/>
  <c r="L26" i="26"/>
  <c r="R26" i="26" s="1"/>
  <c r="L28" i="26"/>
  <c r="R28" i="26" s="1"/>
  <c r="L30" i="26"/>
  <c r="R30" i="26" s="1"/>
  <c r="L11" i="26"/>
  <c r="R11" i="26" s="1"/>
  <c r="L13" i="26"/>
  <c r="R13" i="26" s="1"/>
  <c r="S13" i="26" s="1"/>
  <c r="L15" i="26"/>
  <c r="R15" i="26" s="1"/>
  <c r="L17" i="26"/>
  <c r="R17" i="26" s="1"/>
  <c r="L19" i="26"/>
  <c r="R19" i="26" s="1"/>
  <c r="L21" i="26"/>
  <c r="R21" i="26" s="1"/>
  <c r="L23" i="26"/>
  <c r="R23" i="26" s="1"/>
  <c r="L25" i="26"/>
  <c r="R25" i="26" s="1"/>
  <c r="L27" i="26"/>
  <c r="R27" i="26" s="1"/>
  <c r="E38" i="8"/>
  <c r="F38" i="8" s="1"/>
  <c r="E36" i="8"/>
  <c r="C26" i="6" l="1"/>
  <c r="F26" i="6" s="1"/>
  <c r="K27" i="6"/>
  <c r="N27" i="6" s="1"/>
  <c r="S19" i="26"/>
  <c r="S24" i="26"/>
  <c r="L14" i="6" s="1"/>
  <c r="S17" i="26"/>
  <c r="L19" i="6"/>
  <c r="T29" i="26"/>
  <c r="U29" i="26"/>
  <c r="S15" i="26"/>
  <c r="U15" i="26" s="1"/>
  <c r="S11" i="26"/>
  <c r="U11" i="26" s="1"/>
  <c r="S25" i="26"/>
  <c r="L15" i="6" s="1"/>
  <c r="S14" i="26"/>
  <c r="U14" i="26" s="1"/>
  <c r="S27" i="26"/>
  <c r="L17" i="6" s="1"/>
  <c r="S16" i="26"/>
  <c r="L7" i="6" s="1"/>
  <c r="S23" i="26"/>
  <c r="L13" i="6" s="1"/>
  <c r="S21" i="26"/>
  <c r="L11" i="6" s="1"/>
  <c r="S30" i="26"/>
  <c r="U30" i="26" s="1"/>
  <c r="H19" i="6"/>
  <c r="S26" i="26"/>
  <c r="L16" i="6" s="1"/>
  <c r="S12" i="26"/>
  <c r="U12" i="26" s="1"/>
  <c r="S22" i="26"/>
  <c r="L12" i="6" s="1"/>
  <c r="S28" i="26"/>
  <c r="L18" i="6" s="1"/>
  <c r="U24" i="26"/>
  <c r="T24" i="26"/>
  <c r="T21" i="26"/>
  <c r="U21" i="26"/>
  <c r="T19" i="26"/>
  <c r="U19" i="26"/>
  <c r="T17" i="26"/>
  <c r="U17" i="26"/>
  <c r="S20" i="26"/>
  <c r="L10" i="6" s="1"/>
  <c r="U23" i="26"/>
  <c r="T23" i="26"/>
  <c r="T13" i="26"/>
  <c r="U13" i="26"/>
  <c r="S18" i="26"/>
  <c r="U27" i="26"/>
  <c r="U16" i="26"/>
  <c r="T16" i="26"/>
  <c r="T15" i="26" l="1"/>
  <c r="T25" i="26"/>
  <c r="U25" i="26"/>
  <c r="T14" i="26"/>
  <c r="T11" i="26"/>
  <c r="T30" i="26"/>
  <c r="T27" i="26"/>
  <c r="T26" i="26"/>
  <c r="U26" i="26"/>
  <c r="T12" i="26"/>
  <c r="U22" i="26"/>
  <c r="H7" i="6"/>
  <c r="H10" i="6"/>
  <c r="H17" i="6"/>
  <c r="H9" i="6"/>
  <c r="H14" i="6"/>
  <c r="H13" i="6"/>
  <c r="H11" i="6"/>
  <c r="H16" i="6"/>
  <c r="H8" i="6"/>
  <c r="H18" i="6"/>
  <c r="H12" i="6"/>
  <c r="T22" i="26"/>
  <c r="T28" i="26"/>
  <c r="U28" i="26"/>
  <c r="L9" i="6"/>
  <c r="L8" i="6"/>
  <c r="U18" i="26"/>
  <c r="T18" i="26"/>
  <c r="U20" i="26"/>
  <c r="T20" i="26"/>
  <c r="K83" i="8"/>
  <c r="L83" i="8" s="1"/>
  <c r="K81" i="8"/>
  <c r="M25" i="6" l="1"/>
  <c r="I25" i="6"/>
  <c r="M28" i="6"/>
  <c r="C50" i="8" l="1"/>
  <c r="C83" i="8" l="1"/>
  <c r="F83" i="8" s="1"/>
  <c r="C65" i="8"/>
  <c r="E82" i="8"/>
  <c r="E81" i="8"/>
  <c r="F82" i="8" l="1"/>
  <c r="C8" i="18"/>
  <c r="C14" i="18" l="1"/>
  <c r="C13" i="18"/>
  <c r="C9" i="12"/>
  <c r="J26" i="12" l="1"/>
  <c r="J25" i="12"/>
  <c r="C27" i="18"/>
  <c r="J23" i="12"/>
  <c r="J24" i="12" s="1"/>
  <c r="C8" i="12"/>
  <c r="C14" i="12" l="1"/>
  <c r="G26" i="12" s="1"/>
  <c r="C13" i="12"/>
  <c r="F26" i="12" s="1"/>
  <c r="G10" i="24"/>
  <c r="C26" i="12" l="1"/>
  <c r="C7" i="12"/>
  <c r="C6" i="12"/>
  <c r="C15" i="12" l="1"/>
  <c r="C12" i="12"/>
  <c r="E40" i="4"/>
  <c r="E39" i="4"/>
  <c r="E38" i="4"/>
  <c r="E37" i="4"/>
  <c r="E35" i="4"/>
  <c r="E34" i="4"/>
  <c r="C27" i="12" l="1"/>
  <c r="F27" i="12" s="1"/>
  <c r="F29" i="12" s="1"/>
  <c r="F31" i="12" s="1"/>
  <c r="C17" i="12"/>
  <c r="C22" i="12" s="1"/>
  <c r="C23" i="12" s="1"/>
  <c r="E14" i="3"/>
  <c r="E13" i="3"/>
  <c r="E12" i="3"/>
  <c r="E11" i="3"/>
  <c r="E30" i="2"/>
  <c r="E29" i="2"/>
  <c r="E25" i="2"/>
  <c r="E31" i="2"/>
  <c r="Q80" i="8" l="1"/>
  <c r="O53" i="8"/>
  <c r="O54" i="8"/>
  <c r="O52" i="8"/>
  <c r="O50" i="8"/>
  <c r="O81" i="8" s="1"/>
  <c r="R81" i="8" s="1"/>
  <c r="O49" i="8"/>
  <c r="O75" i="8"/>
  <c r="G242" i="1" l="1"/>
  <c r="F32" i="12"/>
  <c r="O57" i="8"/>
  <c r="O59" i="8"/>
  <c r="O82" i="8" s="1"/>
  <c r="O60" i="8"/>
  <c r="O56" i="8"/>
  <c r="R82" i="8" l="1"/>
  <c r="O62" i="8"/>
  <c r="O63" i="8" s="1"/>
  <c r="O69" i="8" s="1"/>
  <c r="O70" i="8" s="1"/>
  <c r="O74" i="8" l="1"/>
  <c r="O80" i="8"/>
  <c r="R80" i="8" s="1"/>
  <c r="R86" i="8" s="1"/>
  <c r="R87" i="8" s="1"/>
  <c r="R88" i="8" l="1"/>
  <c r="G197" i="1"/>
  <c r="L24" i="17" l="1"/>
  <c r="D30" i="15" l="1"/>
  <c r="D28" i="15"/>
  <c r="E26" i="24" l="1"/>
  <c r="E25" i="24"/>
  <c r="E24" i="24"/>
  <c r="E21" i="24"/>
  <c r="D7" i="24"/>
  <c r="D6" i="24"/>
  <c r="D5" i="24"/>
  <c r="C27" i="24" l="1"/>
  <c r="F27" i="24" s="1"/>
  <c r="C28" i="24"/>
  <c r="F28" i="24" s="1"/>
  <c r="D12" i="24"/>
  <c r="D11" i="24"/>
  <c r="C24" i="24" s="1"/>
  <c r="F24" i="24" s="1"/>
  <c r="D10" i="24"/>
  <c r="D15" i="24" s="1"/>
  <c r="C21" i="24" s="1"/>
  <c r="C26" i="24" l="1"/>
  <c r="F26" i="24" s="1"/>
  <c r="D13" i="24"/>
  <c r="F21" i="24"/>
  <c r="D17" i="24"/>
  <c r="C23" i="24" s="1"/>
  <c r="F23" i="24" s="1"/>
  <c r="D16" i="24"/>
  <c r="C25" i="24"/>
  <c r="F25" i="24" s="1"/>
  <c r="E29" i="10"/>
  <c r="C22" i="24" l="1"/>
  <c r="F22" i="24" s="1"/>
  <c r="F31" i="24" s="1"/>
  <c r="F33" i="24" s="1"/>
  <c r="H24" i="23"/>
  <c r="H23" i="23"/>
  <c r="H22" i="23"/>
  <c r="F7" i="23"/>
  <c r="F6" i="23"/>
  <c r="F34" i="24" l="1"/>
  <c r="F23" i="23"/>
  <c r="I23" i="23" s="1"/>
  <c r="F13" i="23"/>
  <c r="F22" i="23"/>
  <c r="I22" i="23" s="1"/>
  <c r="F25" i="23"/>
  <c r="I25" i="23" s="1"/>
  <c r="F12" i="23"/>
  <c r="F24" i="23" s="1"/>
  <c r="I24" i="23" s="1"/>
  <c r="G354" i="1" l="1"/>
  <c r="I27" i="23"/>
  <c r="I29" i="23" s="1"/>
  <c r="I30" i="23" l="1"/>
  <c r="G319" i="1"/>
  <c r="S29" i="16"/>
  <c r="L29" i="16" l="1"/>
  <c r="Z29" i="16" l="1"/>
  <c r="O9" i="8" l="1"/>
  <c r="L23" i="17" l="1"/>
  <c r="J8" i="17" l="1"/>
  <c r="J7" i="17"/>
  <c r="J26" i="17" s="1"/>
  <c r="M26" i="17" s="1"/>
  <c r="J6" i="17"/>
  <c r="J5" i="17"/>
  <c r="J12" i="17" l="1"/>
  <c r="J25" i="17"/>
  <c r="M25" i="17" s="1"/>
  <c r="J24" i="17"/>
  <c r="M24" i="17" s="1"/>
  <c r="J10" i="17"/>
  <c r="J11" i="17"/>
  <c r="J13" i="17" l="1"/>
  <c r="J18" i="17"/>
  <c r="J23" i="17" s="1"/>
  <c r="M23" i="17" s="1"/>
  <c r="M30" i="17" s="1"/>
  <c r="M32" i="17" l="1"/>
  <c r="G347" i="1" s="1"/>
  <c r="J19" i="17"/>
  <c r="C45" i="11"/>
  <c r="C43" i="11"/>
  <c r="M33" i="17" l="1"/>
  <c r="E59" i="18"/>
  <c r="O31" i="18"/>
  <c r="J40" i="11"/>
  <c r="E58" i="18" l="1"/>
  <c r="E60" i="18"/>
  <c r="C39" i="18"/>
  <c r="C38" i="18"/>
  <c r="C37" i="18"/>
  <c r="C44" i="18" l="1"/>
  <c r="C45" i="18"/>
  <c r="C58" i="18" s="1"/>
  <c r="C46" i="18"/>
  <c r="C43" i="18"/>
  <c r="O32" i="11"/>
  <c r="O30" i="11"/>
  <c r="C59" i="18" l="1"/>
  <c r="F59" i="18" s="1"/>
  <c r="C48" i="18"/>
  <c r="C53" i="18" s="1"/>
  <c r="F58" i="18" s="1"/>
  <c r="C60" i="18"/>
  <c r="F60" i="18" s="1"/>
  <c r="C7" i="6"/>
  <c r="A42" i="6" s="1"/>
  <c r="B8" i="14"/>
  <c r="C25" i="14" s="1"/>
  <c r="C7" i="13"/>
  <c r="C6" i="13"/>
  <c r="E22" i="13"/>
  <c r="E20" i="13"/>
  <c r="E28" i="6" l="1"/>
  <c r="M29" i="6" s="1"/>
  <c r="A45" i="6"/>
  <c r="F25" i="14"/>
  <c r="C13" i="14"/>
  <c r="C20" i="14" s="1"/>
  <c r="J36" i="6"/>
  <c r="M36" i="6" s="1"/>
  <c r="C10" i="14"/>
  <c r="C12" i="14" s="1"/>
  <c r="C30" i="13"/>
  <c r="F30" i="13" s="1"/>
  <c r="K25" i="6"/>
  <c r="N25" i="6" s="1"/>
  <c r="C13" i="6"/>
  <c r="C27" i="6" s="1"/>
  <c r="E11" i="6"/>
  <c r="F61" i="18"/>
  <c r="F63" i="18" s="1"/>
  <c r="C22" i="13"/>
  <c r="F22" i="13" s="1"/>
  <c r="C54" i="18"/>
  <c r="C19" i="13"/>
  <c r="C21" i="13"/>
  <c r="C20" i="13"/>
  <c r="F20" i="13" s="1"/>
  <c r="E19" i="14"/>
  <c r="F64" i="18" l="1"/>
  <c r="G256" i="1"/>
  <c r="C21" i="14"/>
  <c r="F21" i="14" s="1"/>
  <c r="A46" i="6"/>
  <c r="A44" i="6"/>
  <c r="C11" i="14"/>
  <c r="C19" i="14" s="1"/>
  <c r="A28" i="6"/>
  <c r="I29" i="6" s="1"/>
  <c r="E9" i="6"/>
  <c r="C25" i="6" s="1"/>
  <c r="K26" i="6"/>
  <c r="N26" i="6" s="1"/>
  <c r="L19" i="13"/>
  <c r="E19" i="13"/>
  <c r="F19" i="13" s="1"/>
  <c r="E21" i="13"/>
  <c r="F21" i="13" s="1"/>
  <c r="E23" i="13"/>
  <c r="E25" i="22" l="1"/>
  <c r="C9" i="22"/>
  <c r="C8" i="22"/>
  <c r="C7" i="22"/>
  <c r="J28" i="22" s="1"/>
  <c r="C6" i="22"/>
  <c r="J26" i="22" l="1"/>
  <c r="J27" i="22" s="1"/>
  <c r="C11" i="22"/>
  <c r="C14" i="22"/>
  <c r="F25" i="22" s="1"/>
  <c r="C12" i="22"/>
  <c r="C13" i="22"/>
  <c r="D13" i="19"/>
  <c r="G25" i="22" l="1"/>
  <c r="C21" i="22"/>
  <c r="C26" i="22" s="1"/>
  <c r="F26" i="22" s="1"/>
  <c r="F28" i="22" s="1"/>
  <c r="F30" i="22" s="1"/>
  <c r="C20" i="22"/>
  <c r="C25" i="22" s="1"/>
  <c r="C15" i="22"/>
  <c r="O35" i="18"/>
  <c r="O34" i="18"/>
  <c r="O33" i="18"/>
  <c r="O32" i="18"/>
  <c r="O30" i="18"/>
  <c r="L10" i="18"/>
  <c r="L7" i="18"/>
  <c r="L9" i="18" s="1"/>
  <c r="E239" i="1" s="1"/>
  <c r="L6" i="18"/>
  <c r="L8" i="18" l="1"/>
  <c r="D239" i="1" s="1"/>
  <c r="P14" i="18"/>
  <c r="P18" i="18" s="1"/>
  <c r="M32" i="18"/>
  <c r="P32" i="18" s="1"/>
  <c r="M33" i="18"/>
  <c r="P33" i="18" s="1"/>
  <c r="L16" i="18"/>
  <c r="M34" i="18" s="1"/>
  <c r="P34" i="18" s="1"/>
  <c r="G263" i="1" l="1"/>
  <c r="M35" i="18"/>
  <c r="P35" i="18" s="1"/>
  <c r="L13" i="18"/>
  <c r="L15" i="18"/>
  <c r="M31" i="18"/>
  <c r="P31" i="18" s="1"/>
  <c r="F31" i="22" l="1"/>
  <c r="P13" i="18"/>
  <c r="P19" i="18" s="1"/>
  <c r="L20" i="18"/>
  <c r="L25" i="18" s="1"/>
  <c r="C45" i="2" l="1"/>
  <c r="C46" i="2"/>
  <c r="C47" i="2"/>
  <c r="E56" i="2"/>
  <c r="E54" i="2"/>
  <c r="E53" i="2"/>
  <c r="E28" i="2"/>
  <c r="E24" i="2"/>
  <c r="E32" i="2"/>
  <c r="E23" i="2"/>
  <c r="E22" i="2"/>
  <c r="E21" i="2"/>
  <c r="E20" i="2"/>
  <c r="E19" i="2"/>
  <c r="C63" i="2" l="1"/>
  <c r="F63" i="2" s="1"/>
  <c r="C58" i="2"/>
  <c r="F58" i="2" s="1"/>
  <c r="C55" i="2"/>
  <c r="F55" i="2" s="1"/>
  <c r="C54" i="2"/>
  <c r="C50" i="2"/>
  <c r="C49" i="2"/>
  <c r="E28" i="17"/>
  <c r="E26" i="17"/>
  <c r="C57" i="2" l="1"/>
  <c r="I5" i="8"/>
  <c r="I41" i="8" s="1"/>
  <c r="I6" i="8"/>
  <c r="I7" i="8"/>
  <c r="I8" i="8"/>
  <c r="H43" i="8" l="1"/>
  <c r="I37" i="8"/>
  <c r="L37" i="8" s="1"/>
  <c r="D10" i="20"/>
  <c r="E10" i="20" s="1"/>
  <c r="D11" i="20"/>
  <c r="E11" i="20" s="1"/>
  <c r="D12" i="20"/>
  <c r="E12" i="20" s="1"/>
  <c r="D13" i="20"/>
  <c r="E13" i="20" s="1"/>
  <c r="D15" i="20"/>
  <c r="E15" i="20" s="1"/>
  <c r="D16" i="20"/>
  <c r="E16" i="20" s="1"/>
  <c r="D17" i="20"/>
  <c r="E17" i="20" s="1"/>
  <c r="D18" i="20"/>
  <c r="E18" i="20" s="1"/>
  <c r="D19" i="20"/>
  <c r="E19" i="20" s="1"/>
  <c r="D20" i="20"/>
  <c r="E20" i="20" s="1"/>
  <c r="D21" i="20"/>
  <c r="E21" i="20" s="1"/>
  <c r="D22" i="20"/>
  <c r="E22" i="20" s="1"/>
  <c r="D9" i="20"/>
  <c r="D3" i="19"/>
  <c r="G277" i="1" l="1" a="1"/>
  <c r="G277" i="1" s="1"/>
  <c r="E9" i="20"/>
  <c r="E24" i="20" s="1"/>
  <c r="C29" i="20" s="1"/>
  <c r="F29" i="20" s="1"/>
  <c r="D24" i="20"/>
  <c r="C28" i="20" l="1"/>
  <c r="F28" i="20" s="1"/>
  <c r="F31" i="20" s="1"/>
  <c r="D8" i="7"/>
  <c r="D7" i="7"/>
  <c r="D4" i="7"/>
  <c r="D3" i="7"/>
  <c r="N41" i="7" l="1"/>
  <c r="N32" i="7"/>
  <c r="N40" i="7"/>
  <c r="N39" i="7"/>
  <c r="N38" i="7"/>
  <c r="N36" i="7"/>
  <c r="N35" i="7"/>
  <c r="M35" i="7"/>
  <c r="M27" i="7"/>
  <c r="M34" i="7"/>
  <c r="M41" i="7"/>
  <c r="M39" i="7"/>
  <c r="M38" i="7"/>
  <c r="M36" i="7"/>
  <c r="M29" i="7"/>
  <c r="C40" i="7"/>
  <c r="F40" i="7" s="1"/>
  <c r="C23" i="7"/>
  <c r="C35" i="7"/>
  <c r="F35" i="7" s="1"/>
  <c r="C16" i="7"/>
  <c r="C15" i="7"/>
  <c r="D6" i="7"/>
  <c r="C20" i="7"/>
  <c r="C18" i="7"/>
  <c r="D5" i="7"/>
  <c r="C21" i="7"/>
  <c r="C32" i="7" s="1"/>
  <c r="F32" i="7" s="1"/>
  <c r="C12" i="7"/>
  <c r="E12" i="7" s="1"/>
  <c r="C19" i="7"/>
  <c r="C13" i="7"/>
  <c r="C17" i="7"/>
  <c r="C34" i="7"/>
  <c r="F34" i="7" s="1"/>
  <c r="C31" i="7"/>
  <c r="F31" i="7" s="1"/>
  <c r="C24" i="7"/>
  <c r="C30" i="7" s="1"/>
  <c r="F30" i="7" s="1"/>
  <c r="C14" i="7" l="1"/>
  <c r="C27" i="7"/>
  <c r="E13" i="7"/>
  <c r="C33" i="7"/>
  <c r="F33" i="7" s="1"/>
  <c r="C28" i="7" l="1"/>
  <c r="F28" i="7" s="1"/>
  <c r="C29" i="7"/>
  <c r="F29" i="7" s="1"/>
  <c r="F27" i="7"/>
  <c r="F37" i="7" l="1"/>
  <c r="D4" i="19"/>
  <c r="D5" i="19"/>
  <c r="D6" i="19"/>
  <c r="D7" i="19"/>
  <c r="D8" i="19"/>
  <c r="D9" i="19"/>
  <c r="D10" i="19"/>
  <c r="D11" i="19"/>
  <c r="D12" i="19"/>
  <c r="D14" i="19"/>
  <c r="D15" i="19"/>
  <c r="F41" i="7" l="1"/>
  <c r="G270" i="1" a="1"/>
  <c r="G270" i="1" s="1"/>
  <c r="D17" i="19"/>
  <c r="C22" i="19" s="1"/>
  <c r="C7" i="18"/>
  <c r="C6" i="18"/>
  <c r="G23" i="1" l="1"/>
  <c r="L34" i="7"/>
  <c r="N34" i="7" s="1"/>
  <c r="L41" i="7"/>
  <c r="L33" i="7"/>
  <c r="L39" i="7"/>
  <c r="L31" i="7"/>
  <c r="L38" i="7"/>
  <c r="L37" i="7"/>
  <c r="L29" i="7"/>
  <c r="N29" i="7" s="1"/>
  <c r="L28" i="7"/>
  <c r="L27" i="7"/>
  <c r="N27" i="7" s="1"/>
  <c r="L40" i="7"/>
  <c r="M40" i="7" s="1"/>
  <c r="L30" i="7"/>
  <c r="L36" i="7"/>
  <c r="L35" i="7"/>
  <c r="L32" i="7"/>
  <c r="M32" i="7" s="1"/>
  <c r="F22" i="19"/>
  <c r="C15" i="18"/>
  <c r="C12" i="18"/>
  <c r="N31" i="7" l="1"/>
  <c r="M31" i="7"/>
  <c r="M28" i="7"/>
  <c r="N28" i="7"/>
  <c r="M30" i="7"/>
  <c r="N30" i="7"/>
  <c r="M33" i="7"/>
  <c r="N33" i="7"/>
  <c r="M37" i="7"/>
  <c r="N37" i="7"/>
  <c r="C28" i="18"/>
  <c r="F28" i="18" s="1"/>
  <c r="B44" i="16"/>
  <c r="B46" i="16"/>
  <c r="B43" i="16" s="1"/>
  <c r="B45" i="16"/>
  <c r="B42" i="16" s="1"/>
  <c r="M43" i="7" l="1"/>
  <c r="N43" i="7"/>
  <c r="B54" i="16"/>
  <c r="B47" i="16"/>
  <c r="B48" i="16"/>
  <c r="B51" i="16"/>
  <c r="C66" i="16" s="1"/>
  <c r="F66" i="16" s="1"/>
  <c r="B53" i="16"/>
  <c r="I52" i="8"/>
  <c r="I51" i="8"/>
  <c r="I50" i="8"/>
  <c r="I49" i="8"/>
  <c r="I87" i="8" s="1"/>
  <c r="N45" i="7" l="1"/>
  <c r="F38" i="7" s="1"/>
  <c r="G21" i="1" s="1"/>
  <c r="I82" i="8"/>
  <c r="L82" i="8" s="1"/>
  <c r="B52" i="16"/>
  <c r="B55" i="16" s="1"/>
  <c r="B60" i="16" s="1"/>
  <c r="C65" i="16" s="1"/>
  <c r="F65" i="16" s="1"/>
  <c r="I77" i="8"/>
  <c r="I59" i="8"/>
  <c r="I57" i="8"/>
  <c r="I81" i="8" s="1"/>
  <c r="L81" i="8" s="1"/>
  <c r="I54" i="8"/>
  <c r="I60" i="8" s="1"/>
  <c r="H22" i="1" l="1"/>
  <c r="F70" i="16"/>
  <c r="F43" i="7"/>
  <c r="B61" i="16"/>
  <c r="I62" i="8"/>
  <c r="I56" i="8"/>
  <c r="U9" i="8"/>
  <c r="F71" i="16" l="1"/>
  <c r="G87" i="1" s="1"/>
  <c r="I63" i="8"/>
  <c r="I69" i="8" s="1"/>
  <c r="U8" i="8"/>
  <c r="U10" i="8" s="1"/>
  <c r="U12" i="8" s="1"/>
  <c r="U7" i="8"/>
  <c r="U6" i="8"/>
  <c r="U5" i="8"/>
  <c r="U37" i="8" s="1"/>
  <c r="X37" i="8" s="1"/>
  <c r="I80" i="8" l="1"/>
  <c r="L80" i="8" s="1"/>
  <c r="L86" i="8" s="1"/>
  <c r="I76" i="8"/>
  <c r="I70" i="8"/>
  <c r="U15" i="8"/>
  <c r="U16" i="8"/>
  <c r="U13" i="8"/>
  <c r="U33" i="8" s="1"/>
  <c r="U38" i="8" s="1"/>
  <c r="X38" i="8" s="1"/>
  <c r="O8" i="8"/>
  <c r="O10" i="8" s="1"/>
  <c r="O12" i="8" s="1"/>
  <c r="O7" i="8"/>
  <c r="O6" i="8"/>
  <c r="O5" i="8"/>
  <c r="O37" i="8" s="1"/>
  <c r="R37" i="8" s="1"/>
  <c r="L87" i="8" l="1"/>
  <c r="G125" i="1" s="1"/>
  <c r="U18" i="8"/>
  <c r="O15" i="8"/>
  <c r="O13" i="8"/>
  <c r="O16" i="8"/>
  <c r="W8" i="16"/>
  <c r="W10" i="16"/>
  <c r="W7" i="16" s="1"/>
  <c r="W9" i="16"/>
  <c r="X31" i="16" l="1"/>
  <c r="AA31" i="16" s="1"/>
  <c r="W18" i="16"/>
  <c r="X30" i="16" s="1"/>
  <c r="W6" i="16"/>
  <c r="W17" i="16" s="1"/>
  <c r="U20" i="8"/>
  <c r="U25" i="8" s="1"/>
  <c r="O18" i="8"/>
  <c r="W15" i="16"/>
  <c r="W12" i="16"/>
  <c r="W11" i="16"/>
  <c r="P8" i="16"/>
  <c r="AA30" i="16" l="1"/>
  <c r="U32" i="8"/>
  <c r="U26" i="8"/>
  <c r="U36" i="8"/>
  <c r="W16" i="16"/>
  <c r="W19" i="16" s="1"/>
  <c r="W24" i="16" s="1"/>
  <c r="X29" i="16" s="1"/>
  <c r="AA29" i="16" s="1"/>
  <c r="O19" i="8"/>
  <c r="O25" i="8" s="1"/>
  <c r="O26" i="8" s="1"/>
  <c r="M6" i="11"/>
  <c r="M5" i="11"/>
  <c r="L45" i="11" l="1"/>
  <c r="O45" i="11" s="1"/>
  <c r="M30" i="11"/>
  <c r="P30" i="11" s="1"/>
  <c r="M31" i="11"/>
  <c r="P31" i="11" s="1"/>
  <c r="AA34" i="16"/>
  <c r="M29" i="11"/>
  <c r="P29" i="11" s="1"/>
  <c r="M18" i="11"/>
  <c r="P18" i="11" s="1"/>
  <c r="X36" i="8"/>
  <c r="M20" i="11"/>
  <c r="P20" i="11" s="1"/>
  <c r="M17" i="11"/>
  <c r="P17" i="11" s="1"/>
  <c r="M19" i="11"/>
  <c r="P19" i="11" s="1"/>
  <c r="M21" i="11"/>
  <c r="P21" i="11" s="1"/>
  <c r="M22" i="11"/>
  <c r="P22" i="11" s="1"/>
  <c r="M12" i="11"/>
  <c r="O36" i="8"/>
  <c r="O32" i="8"/>
  <c r="W25" i="16"/>
  <c r="M15" i="11"/>
  <c r="M33" i="11" s="1"/>
  <c r="C53" i="8"/>
  <c r="C55" i="8" s="1"/>
  <c r="C52" i="8"/>
  <c r="C51" i="8"/>
  <c r="C87" i="8" s="1"/>
  <c r="C76" i="8"/>
  <c r="AA35" i="16" l="1"/>
  <c r="G108" i="1" s="1"/>
  <c r="M32" i="11"/>
  <c r="P32" i="11" s="1"/>
  <c r="P33" i="11"/>
  <c r="X44" i="8"/>
  <c r="X45" i="8" s="1"/>
  <c r="C60" i="8"/>
  <c r="C84" i="8" s="1"/>
  <c r="R36" i="8"/>
  <c r="R42" i="8" s="1"/>
  <c r="R43" i="8" s="1"/>
  <c r="M35" i="11"/>
  <c r="P35" i="11" s="1"/>
  <c r="M34" i="11"/>
  <c r="P34" i="11" s="1"/>
  <c r="C58" i="8"/>
  <c r="C78" i="8" s="1"/>
  <c r="C61" i="8"/>
  <c r="C57" i="8"/>
  <c r="I10" i="8"/>
  <c r="I33" i="8"/>
  <c r="I31" i="8"/>
  <c r="X46" i="8" l="1"/>
  <c r="G188" i="1"/>
  <c r="G179" i="1"/>
  <c r="F84" i="8"/>
  <c r="P40" i="11"/>
  <c r="C63" i="8"/>
  <c r="C64" i="8" s="1"/>
  <c r="C70" i="8" s="1"/>
  <c r="I13" i="8"/>
  <c r="I12" i="8"/>
  <c r="I16" i="8"/>
  <c r="I15" i="8"/>
  <c r="I10" i="16"/>
  <c r="I12" i="16" s="1"/>
  <c r="I9" i="16"/>
  <c r="I8" i="16"/>
  <c r="P42" i="11" l="1"/>
  <c r="G206" i="1" s="1"/>
  <c r="O46" i="11"/>
  <c r="G208" i="1" s="1"/>
  <c r="I18" i="16"/>
  <c r="J30" i="16" s="1"/>
  <c r="I11" i="16"/>
  <c r="I16" i="16" s="1"/>
  <c r="C77" i="8"/>
  <c r="C81" i="8"/>
  <c r="C71" i="8"/>
  <c r="I18" i="8"/>
  <c r="I19" i="8" s="1"/>
  <c r="I7" i="16"/>
  <c r="I6" i="16"/>
  <c r="I15" i="16"/>
  <c r="C5" i="8"/>
  <c r="C6" i="8"/>
  <c r="C7" i="8"/>
  <c r="C8" i="8"/>
  <c r="C10" i="8" s="1"/>
  <c r="C37" i="8" l="1"/>
  <c r="F37" i="8" s="1"/>
  <c r="C42" i="8"/>
  <c r="H207" i="1"/>
  <c r="I25" i="8"/>
  <c r="I36" i="8" s="1"/>
  <c r="F81" i="8"/>
  <c r="F86" i="8" s="1"/>
  <c r="F87" i="8" s="1"/>
  <c r="G143" i="1" s="1"/>
  <c r="C44" i="8"/>
  <c r="C20" i="8"/>
  <c r="P43" i="11"/>
  <c r="M30" i="16"/>
  <c r="I17" i="16"/>
  <c r="I19" i="16" s="1"/>
  <c r="C16" i="8"/>
  <c r="C12" i="8"/>
  <c r="C13" i="8"/>
  <c r="C15" i="8"/>
  <c r="C7" i="17"/>
  <c r="C6" i="17"/>
  <c r="C5" i="17"/>
  <c r="C9" i="17" l="1"/>
  <c r="C10" i="17"/>
  <c r="I26" i="8"/>
  <c r="L36" i="8"/>
  <c r="L40" i="8" s="1"/>
  <c r="I32" i="8"/>
  <c r="I24" i="16"/>
  <c r="I25" i="16" s="1"/>
  <c r="M34" i="16"/>
  <c r="C24" i="17"/>
  <c r="F24" i="17" s="1"/>
  <c r="C18" i="8"/>
  <c r="C19" i="8" s="1"/>
  <c r="C25" i="8" s="1"/>
  <c r="C32" i="8" s="1"/>
  <c r="C25" i="17"/>
  <c r="F25" i="17" s="1"/>
  <c r="C26" i="17"/>
  <c r="F26" i="17" s="1"/>
  <c r="C14" i="17"/>
  <c r="C27" i="17" s="1"/>
  <c r="F27" i="17" s="1"/>
  <c r="C19" i="17" l="1"/>
  <c r="C23" i="17" s="1"/>
  <c r="F23" i="17" s="1"/>
  <c r="L41" i="8"/>
  <c r="G116" i="1" s="1"/>
  <c r="H44" i="8"/>
  <c r="G118" i="1" s="1"/>
  <c r="J29" i="16"/>
  <c r="M29" i="16" s="1"/>
  <c r="C28" i="17"/>
  <c r="F28" i="17" s="1"/>
  <c r="C20" i="17"/>
  <c r="H117" i="1" l="1"/>
  <c r="G94" i="1"/>
  <c r="M33" i="16"/>
  <c r="L42" i="8"/>
  <c r="F31" i="17"/>
  <c r="F33" i="17" s="1"/>
  <c r="F34" i="17" l="1"/>
  <c r="C7" i="10"/>
  <c r="G340" i="1" l="1"/>
  <c r="B8" i="16"/>
  <c r="B10" i="16"/>
  <c r="B7" i="16" s="1"/>
  <c r="B9" i="16"/>
  <c r="B6" i="16" s="1"/>
  <c r="B12" i="16" l="1"/>
  <c r="B15" i="16"/>
  <c r="B18" i="16"/>
  <c r="B11" i="16"/>
  <c r="B16" i="16" s="1"/>
  <c r="C6" i="15"/>
  <c r="C5" i="15"/>
  <c r="B37" i="15" l="1"/>
  <c r="E37" i="15" s="1"/>
  <c r="B17" i="16"/>
  <c r="B19" i="16" s="1"/>
  <c r="F34" i="16" s="1"/>
  <c r="C10" i="15"/>
  <c r="B24" i="16" l="1"/>
  <c r="B25" i="16" s="1"/>
  <c r="E18" i="15"/>
  <c r="F19" i="14"/>
  <c r="C29" i="16" l="1"/>
  <c r="F29" i="16" s="1"/>
  <c r="F33" i="16" s="1"/>
  <c r="F20" i="14"/>
  <c r="F23" i="14" s="1"/>
  <c r="J6" i="13"/>
  <c r="G299" i="1" s="1" a="1"/>
  <c r="G299" i="1" s="1"/>
  <c r="G80" i="1" l="1"/>
  <c r="F26" i="14"/>
  <c r="G315" i="1" s="1"/>
  <c r="J26" i="13"/>
  <c r="M26" i="13" s="1"/>
  <c r="J8" i="13"/>
  <c r="J19" i="13" s="1"/>
  <c r="M19" i="13" s="1"/>
  <c r="M24" i="13" s="1"/>
  <c r="C9" i="13"/>
  <c r="C23" i="13" s="1"/>
  <c r="F23" i="13" s="1"/>
  <c r="H314" i="1" l="1"/>
  <c r="M27" i="13"/>
  <c r="G301" i="1" s="1"/>
  <c r="J11" i="13"/>
  <c r="C14" i="13"/>
  <c r="C10" i="13"/>
  <c r="F25" i="13" s="1"/>
  <c r="C48" i="13" s="1"/>
  <c r="H300" i="1" l="1"/>
  <c r="D48" i="13"/>
  <c r="E48" i="13"/>
  <c r="C43" i="13"/>
  <c r="C35" i="13"/>
  <c r="C47" i="13"/>
  <c r="C38" i="13"/>
  <c r="C45" i="13"/>
  <c r="C42" i="13"/>
  <c r="C34" i="13"/>
  <c r="C40" i="13"/>
  <c r="C46" i="13"/>
  <c r="C36" i="13"/>
  <c r="C41" i="13"/>
  <c r="C39" i="13"/>
  <c r="C37" i="13"/>
  <c r="C44" i="13"/>
  <c r="F31" i="13"/>
  <c r="G294" i="1" s="1"/>
  <c r="H5" i="11"/>
  <c r="H31" i="11" l="1"/>
  <c r="H35" i="11" s="1"/>
  <c r="J35" i="11" s="1"/>
  <c r="G37" i="11"/>
  <c r="J37" i="11" s="1"/>
  <c r="F48" i="13"/>
  <c r="D47" i="13"/>
  <c r="E47" i="13"/>
  <c r="D46" i="13"/>
  <c r="E46" i="13"/>
  <c r="D43" i="13"/>
  <c r="E43" i="13"/>
  <c r="D45" i="13"/>
  <c r="E45" i="13"/>
  <c r="D44" i="13"/>
  <c r="E44" i="13"/>
  <c r="D42" i="13"/>
  <c r="E42" i="13"/>
  <c r="D41" i="13"/>
  <c r="E41" i="13"/>
  <c r="D40" i="13"/>
  <c r="E40" i="13"/>
  <c r="E39" i="13"/>
  <c r="D39" i="13"/>
  <c r="D38" i="13"/>
  <c r="E38" i="13"/>
  <c r="D37" i="13"/>
  <c r="E37" i="13"/>
  <c r="D36" i="13"/>
  <c r="E36" i="13"/>
  <c r="D35" i="13"/>
  <c r="E35" i="13"/>
  <c r="D34" i="13"/>
  <c r="E34" i="13"/>
  <c r="H18" i="11"/>
  <c r="H14" i="11"/>
  <c r="H6" i="11"/>
  <c r="H12" i="11" s="1"/>
  <c r="H23" i="11" s="1"/>
  <c r="H13" i="11"/>
  <c r="H30" i="11" l="1"/>
  <c r="H34" i="11" s="1"/>
  <c r="F39" i="13"/>
  <c r="F47" i="13"/>
  <c r="F36" i="13"/>
  <c r="F35" i="13"/>
  <c r="F45" i="13"/>
  <c r="F43" i="13"/>
  <c r="F44" i="13"/>
  <c r="F40" i="13"/>
  <c r="F41" i="13"/>
  <c r="F37" i="13"/>
  <c r="F34" i="13"/>
  <c r="F38" i="13"/>
  <c r="F42" i="13"/>
  <c r="F46" i="13"/>
  <c r="E49" i="13"/>
  <c r="E52" i="13" s="1"/>
  <c r="D49" i="13"/>
  <c r="H24" i="11"/>
  <c r="H29" i="11"/>
  <c r="H33" i="11" s="1"/>
  <c r="J33" i="11" s="1"/>
  <c r="H16" i="11"/>
  <c r="F49" i="13" l="1"/>
  <c r="E51" i="13" s="1"/>
  <c r="F51" i="13" s="1"/>
  <c r="D52" i="13"/>
  <c r="F52" i="13" s="1"/>
  <c r="D51" i="13"/>
  <c r="J34" i="11"/>
  <c r="J36" i="11" s="1"/>
  <c r="C7" i="11"/>
  <c r="C6" i="11"/>
  <c r="C5" i="11"/>
  <c r="B52" i="11" s="1"/>
  <c r="F27" i="13" l="1"/>
  <c r="F28" i="13" s="1"/>
  <c r="J38" i="11"/>
  <c r="E52" i="11"/>
  <c r="C8" i="11"/>
  <c r="C13" i="11" s="1"/>
  <c r="C18" i="11" s="1"/>
  <c r="C31" i="11" s="1"/>
  <c r="D42" i="11" s="1"/>
  <c r="C32" i="11"/>
  <c r="D43" i="11" s="1"/>
  <c r="C33" i="11"/>
  <c r="D44" i="11" s="1"/>
  <c r="C15" i="11"/>
  <c r="C35" i="11" s="1"/>
  <c r="D46" i="11" s="1"/>
  <c r="C12" i="11"/>
  <c r="B7" i="9"/>
  <c r="M19" i="10"/>
  <c r="G292" i="1" l="1"/>
  <c r="C18" i="9"/>
  <c r="C20" i="9"/>
  <c r="D308" i="1" s="1"/>
  <c r="G223" i="1"/>
  <c r="J41" i="11"/>
  <c r="C34" i="11"/>
  <c r="D45" i="11" s="1"/>
  <c r="C23" i="11"/>
  <c r="C25" i="11"/>
  <c r="C30" i="11" s="1"/>
  <c r="C6" i="10"/>
  <c r="C5" i="10"/>
  <c r="F33" i="10" s="1"/>
  <c r="H293" i="1" l="1"/>
  <c r="H222" i="1"/>
  <c r="C24" i="11"/>
  <c r="C29" i="11"/>
  <c r="D40" i="11" s="1"/>
  <c r="D41" i="11"/>
  <c r="C13" i="10"/>
  <c r="C18" i="10" s="1"/>
  <c r="C9" i="10"/>
  <c r="M18" i="10" s="1"/>
  <c r="C11" i="10"/>
  <c r="M17" i="10" s="1"/>
  <c r="H13" i="10"/>
  <c r="D47" i="11" l="1"/>
  <c r="D49" i="11" s="1"/>
  <c r="G214" i="1" s="1"/>
  <c r="C19" i="10"/>
  <c r="C29" i="10"/>
  <c r="F29" i="10" s="1"/>
  <c r="F31" i="10" s="1"/>
  <c r="L13" i="10"/>
  <c r="H18" i="10"/>
  <c r="E53" i="11" l="1"/>
  <c r="G216" i="1" s="1"/>
  <c r="F34" i="10"/>
  <c r="L14" i="10"/>
  <c r="H19" i="10"/>
  <c r="C33" i="8"/>
  <c r="AF12" i="8"/>
  <c r="AE12" i="8"/>
  <c r="AD12" i="8"/>
  <c r="AC12" i="8"/>
  <c r="AB12" i="8"/>
  <c r="AF11" i="8"/>
  <c r="AE11" i="8"/>
  <c r="AD11" i="8"/>
  <c r="AC11" i="8"/>
  <c r="AC13" i="8" s="1"/>
  <c r="AB11" i="8"/>
  <c r="AF5" i="8"/>
  <c r="AF7" i="8" s="1"/>
  <c r="AE5" i="8"/>
  <c r="AE7" i="8" s="1"/>
  <c r="AD5" i="8"/>
  <c r="AD7" i="8" s="1"/>
  <c r="AC5" i="8"/>
  <c r="AC7" i="8" s="1"/>
  <c r="AB5" i="8"/>
  <c r="AB7" i="8" s="1"/>
  <c r="AD13" i="8" l="1"/>
  <c r="D50" i="11"/>
  <c r="AB13" i="8"/>
  <c r="AE13" i="8"/>
  <c r="AF13" i="8"/>
  <c r="G229" i="1"/>
  <c r="AB15" i="8"/>
  <c r="AG7" i="8"/>
  <c r="H215" i="1" l="1"/>
  <c r="AG13" i="8"/>
  <c r="AB16" i="8" s="1"/>
  <c r="AB18" i="8"/>
  <c r="AB19" i="8" l="1"/>
  <c r="AB25" i="8" s="1"/>
  <c r="AB26" i="8" s="1"/>
  <c r="C36" i="8"/>
  <c r="F36" i="8" s="1"/>
  <c r="F41" i="8" s="1"/>
  <c r="C26" i="8"/>
  <c r="AB36" i="8" l="1"/>
  <c r="F42" i="8"/>
  <c r="C45" i="8" l="1"/>
  <c r="G134" i="1"/>
  <c r="C12" i="6"/>
  <c r="C29" i="6" s="1"/>
  <c r="G136" i="1" l="1"/>
  <c r="H135" i="1" s="1"/>
  <c r="F43" i="8"/>
  <c r="K30" i="6"/>
  <c r="N30" i="6" s="1"/>
  <c r="F29" i="6"/>
  <c r="C28" i="6"/>
  <c r="K28" i="6"/>
  <c r="N28" i="6" s="1"/>
  <c r="C18" i="6"/>
  <c r="F28" i="6" l="1"/>
  <c r="K29" i="6"/>
  <c r="N29" i="6" s="1"/>
  <c r="N32" i="6" s="1"/>
  <c r="F25" i="6"/>
  <c r="F27" i="6"/>
  <c r="C19" i="6"/>
  <c r="F31" i="6" l="1"/>
  <c r="F32" i="6" s="1"/>
  <c r="M38" i="6"/>
  <c r="G66" i="1" s="1"/>
  <c r="C6" i="4"/>
  <c r="C7" i="4"/>
  <c r="C8" i="4"/>
  <c r="C25" i="4" l="1"/>
  <c r="E11" i="4" s="1"/>
  <c r="C26" i="4"/>
  <c r="N33" i="6"/>
  <c r="N34" i="6" s="1"/>
  <c r="M37" i="6"/>
  <c r="G70" i="1" s="1"/>
  <c r="C47" i="4"/>
  <c r="F47" i="4" s="1"/>
  <c r="C19" i="4"/>
  <c r="C40" i="4"/>
  <c r="F40" i="4" s="1"/>
  <c r="C37" i="4"/>
  <c r="F37" i="4" s="1"/>
  <c r="C12" i="4"/>
  <c r="C14" i="4"/>
  <c r="C21" i="4"/>
  <c r="C16" i="4"/>
  <c r="C38" i="4" s="1"/>
  <c r="F38" i="4" s="1"/>
  <c r="E19" i="4" l="1"/>
  <c r="E21" i="4"/>
  <c r="E10" i="4"/>
  <c r="E12" i="4"/>
  <c r="F33" i="6"/>
  <c r="C13" i="4"/>
  <c r="C15" i="4"/>
  <c r="C20" i="4"/>
  <c r="E20" i="4" s="1"/>
  <c r="C39" i="4"/>
  <c r="F39" i="4" s="1"/>
  <c r="C18" i="4"/>
  <c r="E18" i="4" s="1"/>
  <c r="C29" i="4" l="1"/>
  <c r="C35" i="4"/>
  <c r="C34" i="4"/>
  <c r="C36" i="4"/>
  <c r="F36" i="4" s="1"/>
  <c r="C23" i="4"/>
  <c r="F34" i="4" l="1"/>
  <c r="F35" i="4"/>
  <c r="C30" i="4"/>
  <c r="F43" i="4" l="1"/>
  <c r="F44" i="4" s="1"/>
  <c r="G50" i="1" l="1"/>
  <c r="F48" i="4"/>
  <c r="J11" i="4"/>
  <c r="H15" i="4" s="1"/>
  <c r="J15" i="4" s="1"/>
  <c r="C6" i="2"/>
  <c r="B36" i="2" s="1"/>
  <c r="C5" i="2"/>
  <c r="K25" i="2" s="1"/>
  <c r="M28" i="2" l="1"/>
  <c r="M29" i="2"/>
  <c r="K26" i="2"/>
  <c r="M30" i="2" s="1"/>
  <c r="G52" i="1"/>
  <c r="H51" i="1" s="1"/>
  <c r="C36" i="2"/>
  <c r="C12" i="2"/>
  <c r="E12" i="2" s="1"/>
  <c r="C15" i="2" s="1"/>
  <c r="E6" i="2"/>
  <c r="C10" i="2"/>
  <c r="C30" i="2"/>
  <c r="F30" i="2" s="1"/>
  <c r="C28" i="2"/>
  <c r="F45" i="4"/>
  <c r="H14" i="4"/>
  <c r="I14" i="4" s="1"/>
  <c r="I15" i="4"/>
  <c r="C9" i="2"/>
  <c r="C27" i="2" s="1"/>
  <c r="C24" i="2"/>
  <c r="K28" i="2" l="1"/>
  <c r="K29" i="2"/>
  <c r="K30" i="2"/>
  <c r="K31" i="2"/>
  <c r="M31" i="2"/>
  <c r="F36" i="2"/>
  <c r="F6" i="2"/>
  <c r="C21" i="2" s="1"/>
  <c r="E11" i="2"/>
  <c r="J14" i="4"/>
  <c r="C29" i="2"/>
  <c r="F29" i="2" s="1"/>
  <c r="C5" i="3"/>
  <c r="C4" i="3"/>
  <c r="F14" i="3"/>
  <c r="F56" i="2"/>
  <c r="F54" i="2"/>
  <c r="K34" i="2" l="1"/>
  <c r="K33" i="2"/>
  <c r="C13" i="3"/>
  <c r="F13" i="3" s="1"/>
  <c r="C7" i="3"/>
  <c r="C15" i="3" s="1"/>
  <c r="F15" i="3" s="1"/>
  <c r="C18" i="3"/>
  <c r="F18" i="3" s="1"/>
  <c r="C22" i="3"/>
  <c r="F22" i="3" s="1"/>
  <c r="C19" i="2"/>
  <c r="C20" i="2"/>
  <c r="G31" i="2"/>
  <c r="H31" i="2" s="1"/>
  <c r="F11" i="2"/>
  <c r="C11" i="2" s="1"/>
  <c r="C14" i="2" s="1"/>
  <c r="C11" i="3"/>
  <c r="C12" i="3"/>
  <c r="C53" i="2"/>
  <c r="F53" i="2" s="1"/>
  <c r="C16" i="3" l="1"/>
  <c r="F16" i="3" s="1"/>
  <c r="K35" i="2"/>
  <c r="F39" i="2" s="1"/>
  <c r="G6" i="1" s="1"/>
  <c r="C31" i="2"/>
  <c r="C16" i="2"/>
  <c r="C26" i="2" s="1"/>
  <c r="F26" i="2" s="1"/>
  <c r="G25" i="2"/>
  <c r="F11" i="3"/>
  <c r="F12" i="3"/>
  <c r="F21" i="3" l="1"/>
  <c r="K16" i="3" s="1"/>
  <c r="L16" i="3" s="1"/>
  <c r="C22" i="2"/>
  <c r="F31" i="2"/>
  <c r="C25" i="2"/>
  <c r="F25" i="2" s="1"/>
  <c r="F57" i="2"/>
  <c r="F62" i="2" s="1"/>
  <c r="F66" i="2" s="1"/>
  <c r="F23" i="3" l="1"/>
  <c r="G18" i="1" s="1"/>
  <c r="K13" i="3"/>
  <c r="K14" i="3"/>
  <c r="L14" i="3" s="1"/>
  <c r="K15" i="3"/>
  <c r="K10" i="3"/>
  <c r="K4" i="3"/>
  <c r="K5" i="3"/>
  <c r="L5" i="3" s="1"/>
  <c r="K7" i="3"/>
  <c r="K8" i="3"/>
  <c r="K3" i="3"/>
  <c r="K11" i="3"/>
  <c r="K12" i="3"/>
  <c r="K6" i="3"/>
  <c r="K9" i="3"/>
  <c r="L15" i="3"/>
  <c r="M15" i="3"/>
  <c r="M16" i="3"/>
  <c r="N16" i="3" s="1"/>
  <c r="F64" i="2"/>
  <c r="G12" i="1" s="1"/>
  <c r="F28" i="2"/>
  <c r="F32" i="2"/>
  <c r="F23" i="2"/>
  <c r="M14" i="3" l="1"/>
  <c r="N14" i="3" s="1"/>
  <c r="M5" i="3"/>
  <c r="N5" i="3" s="1"/>
  <c r="N15" i="3"/>
  <c r="L13" i="3"/>
  <c r="M13" i="3"/>
  <c r="M12" i="3"/>
  <c r="L12" i="3"/>
  <c r="L11" i="3"/>
  <c r="M11" i="3"/>
  <c r="L10" i="3"/>
  <c r="M10" i="3"/>
  <c r="L9" i="3"/>
  <c r="M9" i="3"/>
  <c r="L8" i="3"/>
  <c r="M8" i="3"/>
  <c r="L7" i="3"/>
  <c r="M7" i="3"/>
  <c r="L6" i="3"/>
  <c r="M6" i="3"/>
  <c r="L4" i="3"/>
  <c r="M4" i="3"/>
  <c r="L3" i="3"/>
  <c r="M3" i="3"/>
  <c r="F67" i="2"/>
  <c r="F24" i="2"/>
  <c r="F19" i="2"/>
  <c r="F27" i="2"/>
  <c r="F21" i="2"/>
  <c r="F20" i="2"/>
  <c r="F22" i="2"/>
  <c r="M17" i="3" l="1"/>
  <c r="M20" i="3" s="1"/>
  <c r="L17" i="3"/>
  <c r="N6" i="3"/>
  <c r="N10" i="3"/>
  <c r="N12" i="3"/>
  <c r="N3" i="3"/>
  <c r="N11" i="3"/>
  <c r="N8" i="3"/>
  <c r="N4" i="3"/>
  <c r="N9" i="3"/>
  <c r="N13" i="3"/>
  <c r="N7" i="3"/>
  <c r="G10" i="1"/>
  <c r="F35" i="2"/>
  <c r="H11" i="1" l="1"/>
  <c r="F37" i="2"/>
  <c r="N17" i="3"/>
  <c r="M19" i="3" s="1"/>
  <c r="L19" i="3"/>
  <c r="L20" i="3"/>
  <c r="N20" i="3" s="1"/>
  <c r="C7" i="15"/>
  <c r="C12" i="15" s="1"/>
  <c r="C13" i="15" l="1"/>
  <c r="C29" i="15" s="1"/>
  <c r="E29" i="15" s="1"/>
  <c r="E17" i="15"/>
  <c r="C30" i="15"/>
  <c r="E30" i="15" s="1"/>
  <c r="N19" i="3"/>
  <c r="C14" i="15"/>
  <c r="C23" i="15" s="1"/>
  <c r="C28" i="15" s="1"/>
  <c r="M22" i="3" l="1"/>
  <c r="C24" i="15"/>
  <c r="E28" i="15"/>
  <c r="E32" i="15" s="1"/>
  <c r="E38" i="15" l="1"/>
  <c r="E34" i="15" s="1"/>
  <c r="M23" i="3"/>
  <c r="G16" i="1"/>
  <c r="P9" i="16"/>
  <c r="P10" i="16"/>
  <c r="P7" i="16" s="1"/>
  <c r="G328" i="1" l="1"/>
  <c r="G326" i="1"/>
  <c r="H17" i="1"/>
  <c r="P6" i="16"/>
  <c r="P12" i="16"/>
  <c r="P11" i="16"/>
  <c r="P18" i="16"/>
  <c r="Q30" i="16" s="1"/>
  <c r="P15" i="16"/>
  <c r="H327" i="1" l="1"/>
  <c r="T30" i="16"/>
  <c r="P17" i="16"/>
  <c r="P16" i="16"/>
  <c r="P19" i="16" l="1"/>
  <c r="P24" i="16" s="1"/>
  <c r="Q29" i="16" s="1"/>
  <c r="T29" i="16" s="1"/>
  <c r="T33" i="16" l="1"/>
  <c r="T34" i="16" s="1"/>
  <c r="G101" i="1" s="1"/>
  <c r="P25" i="16"/>
  <c r="G68" i="1" l="1"/>
  <c r="H69" i="1" l="1"/>
  <c r="H67" i="1"/>
  <c r="G8" i="1"/>
  <c r="H7" i="1" l="1"/>
  <c r="F40" i="2"/>
  <c r="C65" i="4"/>
  <c r="C71" i="4"/>
  <c r="E71" i="4" s="1"/>
  <c r="C89" i="4"/>
  <c r="F89" i="4" s="1"/>
  <c r="C86" i="4"/>
  <c r="F86" i="4" s="1"/>
  <c r="F71" i="4" l="1"/>
  <c r="E65" i="4"/>
  <c r="C73" i="4"/>
  <c r="C82" i="4" l="1"/>
  <c r="F82" i="4" s="1"/>
  <c r="C81" i="4"/>
  <c r="F81" i="4" s="1"/>
  <c r="F73" i="4"/>
  <c r="C87" i="4"/>
  <c r="F87" i="4" s="1"/>
  <c r="C88" i="4"/>
  <c r="F88" i="4" s="1"/>
  <c r="M85" i="4"/>
  <c r="F92" i="4" l="1"/>
  <c r="F93" i="4" s="1"/>
  <c r="K88" i="4"/>
  <c r="M88" i="4" s="1"/>
  <c r="K87" i="4"/>
  <c r="M87" i="4" s="1"/>
  <c r="G57" i="1" l="1"/>
  <c r="F97" i="4"/>
  <c r="G59" i="1" s="1"/>
  <c r="M90" i="4"/>
  <c r="M91" i="4" s="1"/>
  <c r="H58" i="1" l="1"/>
  <c r="F94" i="4"/>
  <c r="M95" i="4"/>
  <c r="G63" i="1" s="1"/>
  <c r="M92" i="4" l="1"/>
  <c r="G61" i="1"/>
  <c r="H62" i="1" l="1"/>
  <c r="F27" i="18" l="1"/>
  <c r="F29" i="18" s="1"/>
  <c r="F31" i="18" s="1"/>
  <c r="C17" i="18"/>
  <c r="C22" i="18" s="1"/>
  <c r="C23" i="18" s="1"/>
  <c r="F32" i="18" l="1"/>
  <c r="G249" i="1"/>
  <c r="M30" i="18" l="1"/>
  <c r="P30" i="18" s="1"/>
  <c r="P36" i="18" s="1"/>
  <c r="P38" i="18" s="1"/>
  <c r="P39" i="18" l="1"/>
  <c r="G2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Produkcja</author>
  </authors>
  <commentList>
    <comment ref="B34" authorId="0" shapeId="0" xr:uid="{1728BE13-8C44-42DA-9FA6-B97FF951BC03}">
      <text>
        <r>
          <rPr>
            <b/>
            <sz val="9"/>
            <color indexed="81"/>
            <rFont val="Tahoma"/>
            <family val="2"/>
            <charset val="238"/>
          </rPr>
          <t>Produkcja: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<sst xmlns="http://schemas.openxmlformats.org/spreadsheetml/2006/main" count="4058" uniqueCount="972">
  <si>
    <t>Przepustnica wielopłaszczyznowa</t>
  </si>
  <si>
    <t>Szerokość B</t>
  </si>
  <si>
    <t>mb</t>
  </si>
  <si>
    <t>Wysokość H</t>
  </si>
  <si>
    <t>Zapotrzebowanie materiału</t>
  </si>
  <si>
    <t>ilość</t>
  </si>
  <si>
    <t>cena jedn.</t>
  </si>
  <si>
    <t>wartość</t>
  </si>
  <si>
    <t>Profil przepustnicy</t>
  </si>
  <si>
    <t>Koło zębate</t>
  </si>
  <si>
    <t>szt</t>
  </si>
  <si>
    <t>Łożysko</t>
  </si>
  <si>
    <t>Oś krótka</t>
  </si>
  <si>
    <t>Oś długa</t>
  </si>
  <si>
    <t>Zamek</t>
  </si>
  <si>
    <t>Os napędu</t>
  </si>
  <si>
    <t>Płyta boczna QSB</t>
  </si>
  <si>
    <t>kg</t>
  </si>
  <si>
    <t>Płyta gładka (blacha ocynk)</t>
  </si>
  <si>
    <t>m2</t>
  </si>
  <si>
    <t>Profil ramki</t>
  </si>
  <si>
    <t>Narożniki</t>
  </si>
  <si>
    <t>koszt materiału</t>
  </si>
  <si>
    <t>T</t>
  </si>
  <si>
    <t>Przepustnica jednopłaszczyznowa</t>
  </si>
  <si>
    <t>Blacha obudowy</t>
  </si>
  <si>
    <t>Długość L</t>
  </si>
  <si>
    <t>mm</t>
  </si>
  <si>
    <t>Blacha płyty wewnątrz</t>
  </si>
  <si>
    <t>Cena netto</t>
  </si>
  <si>
    <t>Profil ramy czerpni gładki</t>
  </si>
  <si>
    <t>Profil ramy czerpni punktowany</t>
  </si>
  <si>
    <t>Profił łopatki czerpni</t>
  </si>
  <si>
    <t>Narożnik czerpni</t>
  </si>
  <si>
    <t>Siatka</t>
  </si>
  <si>
    <t>Wysokość H/mm</t>
  </si>
  <si>
    <t>Szerokość B/mm</t>
  </si>
  <si>
    <t xml:space="preserve">Czerpnia ścienna standardowa </t>
  </si>
  <si>
    <t>marża</t>
  </si>
  <si>
    <t>Cena sprzedaży AJP</t>
  </si>
  <si>
    <t>Cena sprzedaży PERŁA</t>
  </si>
  <si>
    <t xml:space="preserve">Zdjęcie </t>
  </si>
  <si>
    <t>Nazwa</t>
  </si>
  <si>
    <t>Koszt materiału</t>
  </si>
  <si>
    <t>cena katalogowa</t>
  </si>
  <si>
    <t xml:space="preserve">marża </t>
  </si>
  <si>
    <t>Długość ramek</t>
  </si>
  <si>
    <t>Opas z blachy na kulisach 100 pow.</t>
  </si>
  <si>
    <t>Opas z blachy na kulisach 150 pow.</t>
  </si>
  <si>
    <t>Opas z blachy na kulisach 200 pow.</t>
  </si>
  <si>
    <t>Powierzchnia kanału</t>
  </si>
  <si>
    <t>Całkowita pow blachy</t>
  </si>
  <si>
    <t>Grubość blachy</t>
  </si>
  <si>
    <t>Współczynnik</t>
  </si>
  <si>
    <t xml:space="preserve">Gramatura blachy </t>
  </si>
  <si>
    <t xml:space="preserve">Gramatura </t>
  </si>
  <si>
    <t>Długość - L</t>
  </si>
  <si>
    <t>Ilość kulis 100</t>
  </si>
  <si>
    <t>Ilość kulis 150</t>
  </si>
  <si>
    <t>Ilość kulis 200</t>
  </si>
  <si>
    <t>Tłumik akustyczny prostokątny</t>
  </si>
  <si>
    <t>Długość L/mm</t>
  </si>
  <si>
    <t>Blacha</t>
  </si>
  <si>
    <t xml:space="preserve">Wełna </t>
  </si>
  <si>
    <t>szt.</t>
  </si>
  <si>
    <t>Narożnik 20</t>
  </si>
  <si>
    <t>Ramka 30</t>
  </si>
  <si>
    <t>Narożnik 30</t>
  </si>
  <si>
    <t>j.m</t>
  </si>
  <si>
    <t>Ramka 20</t>
  </si>
  <si>
    <t>Ilość kulis</t>
  </si>
  <si>
    <t>Rozmiar kulis</t>
  </si>
  <si>
    <t>Szerokość</t>
  </si>
  <si>
    <t>od</t>
  </si>
  <si>
    <t>do</t>
  </si>
  <si>
    <t>ilość kulis</t>
  </si>
  <si>
    <t>pow.</t>
  </si>
  <si>
    <t>Zależności</t>
  </si>
  <si>
    <t>od/do</t>
  </si>
  <si>
    <t>2 rzędy</t>
  </si>
  <si>
    <t>1 rząd</t>
  </si>
  <si>
    <t>1500-2000</t>
  </si>
  <si>
    <t>200-1499</t>
  </si>
  <si>
    <t>3 rzędy</t>
  </si>
  <si>
    <t>4 rzędy</t>
  </si>
  <si>
    <t>1+iość koł 1 rząd</t>
  </si>
  <si>
    <t>Tłumik akustyczny okrągły</t>
  </si>
  <si>
    <t>Średnica fi/mm</t>
  </si>
  <si>
    <t>fi</t>
  </si>
  <si>
    <t>L</t>
  </si>
  <si>
    <t>Powierzchnia wełny</t>
  </si>
  <si>
    <t>Powierzchnia siatki</t>
  </si>
  <si>
    <t>Powierzchnia płaszcza</t>
  </si>
  <si>
    <t>Wymiar B</t>
  </si>
  <si>
    <t>Wymiar A</t>
  </si>
  <si>
    <t>odpady</t>
  </si>
  <si>
    <t>szerokość B [mm]</t>
  </si>
  <si>
    <t>wysokość H [mm]</t>
  </si>
  <si>
    <t>PROFILCZERP</t>
  </si>
  <si>
    <t>NAROŻNIKCZERPNI</t>
  </si>
  <si>
    <t>KOD OPTIMA</t>
  </si>
  <si>
    <t>QPL-8</t>
  </si>
  <si>
    <t>QOTK</t>
  </si>
  <si>
    <t>QOTD</t>
  </si>
  <si>
    <t>QSBŚCIANKABOCZNA</t>
  </si>
  <si>
    <t>ZAMEKDOPRZEPJEDN</t>
  </si>
  <si>
    <t>ZAMEDOPRZEPUSTNIC</t>
  </si>
  <si>
    <t>PROFILCZERPNIP</t>
  </si>
  <si>
    <t>Rozdzielaczowa</t>
  </si>
  <si>
    <t>powierchnia otworów</t>
  </si>
  <si>
    <t>A</t>
  </si>
  <si>
    <t>B</t>
  </si>
  <si>
    <t>suma</t>
  </si>
  <si>
    <t>Powierzchnia kolarów</t>
  </si>
  <si>
    <t>Powierzchnia bez otworów</t>
  </si>
  <si>
    <t>Gramatura</t>
  </si>
  <si>
    <t>Gramatura w T</t>
  </si>
  <si>
    <t>Otwór pod kolar</t>
  </si>
  <si>
    <t>Wygięcie</t>
  </si>
  <si>
    <t>Powierchnia kolara</t>
  </si>
  <si>
    <t>Ramka</t>
  </si>
  <si>
    <t>Powierzchnia bez otworu</t>
  </si>
  <si>
    <t>Powierzchnia otworu</t>
  </si>
  <si>
    <t>Powierchnia skorygowana o otwór</t>
  </si>
  <si>
    <t>Powierzchnia całkowita</t>
  </si>
  <si>
    <t>Powierzchnia z kolarem</t>
  </si>
  <si>
    <t>Nitonakrętka</t>
  </si>
  <si>
    <t>Blacha 0,6</t>
  </si>
  <si>
    <t xml:space="preserve">Tap - wpałka </t>
  </si>
  <si>
    <t>Receptura Tapy</t>
  </si>
  <si>
    <t>Trójnik okrągły z tapem</t>
  </si>
  <si>
    <t>FI</t>
  </si>
  <si>
    <t>wyg.</t>
  </si>
  <si>
    <t>ramka</t>
  </si>
  <si>
    <t>narożnik</t>
  </si>
  <si>
    <t>siatka</t>
  </si>
  <si>
    <t xml:space="preserve">Powierzchnia </t>
  </si>
  <si>
    <t>Powierzchnia</t>
  </si>
  <si>
    <t>Razem kg</t>
  </si>
  <si>
    <t>Kolar/Nypel/Mufa</t>
  </si>
  <si>
    <t>Średnica</t>
  </si>
  <si>
    <t>Wyrzutnia ścięta osiatkowana</t>
  </si>
  <si>
    <t>Powierzchnia kanał</t>
  </si>
  <si>
    <t>Powierzchnia skos</t>
  </si>
  <si>
    <t>Narożnik</t>
  </si>
  <si>
    <t>Grubość Blachy</t>
  </si>
  <si>
    <t>współczynnik</t>
  </si>
  <si>
    <t>Waga powierzchni c.</t>
  </si>
  <si>
    <t>Przekątna (skos)</t>
  </si>
  <si>
    <t>SIATKACASANET19X19</t>
  </si>
  <si>
    <t>Wymiar A (kołnierz)</t>
  </si>
  <si>
    <t>Wymiar B (kołnierz)</t>
  </si>
  <si>
    <t>Podstawa dachowa okrągła</t>
  </si>
  <si>
    <t>Fi</t>
  </si>
  <si>
    <t>L FI</t>
  </si>
  <si>
    <t>L wygięcia</t>
  </si>
  <si>
    <t>Powierzchnia czapy</t>
  </si>
  <si>
    <t>Powierzchnia rury</t>
  </si>
  <si>
    <t>Powierzchnia wygięcia</t>
  </si>
  <si>
    <t>Powierzchnia całk</t>
  </si>
  <si>
    <t>Okrągła</t>
  </si>
  <si>
    <t>Poierzchnia skos</t>
  </si>
  <si>
    <t>Półoś elipsy A</t>
  </si>
  <si>
    <t>Półoś elipsy B</t>
  </si>
  <si>
    <t>Kołnierz Elastyczny prostokątny</t>
  </si>
  <si>
    <t>Kołnierz Elastyczny okrągły</t>
  </si>
  <si>
    <t>Wymiar A/mm</t>
  </si>
  <si>
    <t>Wymiar B/mm</t>
  </si>
  <si>
    <t>Prostokątny kołnierz elastyczny</t>
  </si>
  <si>
    <t>Okrągły kołnierz elastyczny</t>
  </si>
  <si>
    <t>Obwód</t>
  </si>
  <si>
    <t>Opakowanie</t>
  </si>
  <si>
    <t>Część opakowania</t>
  </si>
  <si>
    <t xml:space="preserve">Opakowanie </t>
  </si>
  <si>
    <t>KOŁNIERZAMORTYZUJACY (CN)</t>
  </si>
  <si>
    <t>Taśma amortyzująca</t>
  </si>
  <si>
    <t>BLACHA0,60X1500</t>
  </si>
  <si>
    <t xml:space="preserve">Kolar osiatkowany </t>
  </si>
  <si>
    <t>Kolar osiatkowany ILS</t>
  </si>
  <si>
    <t>filtr kasetowy</t>
  </si>
  <si>
    <t>A szerokość</t>
  </si>
  <si>
    <t>B wysokość</t>
  </si>
  <si>
    <t>Włóknina</t>
  </si>
  <si>
    <t>Powierzrchnia blachy</t>
  </si>
  <si>
    <t>Częśc opakowania</t>
  </si>
  <si>
    <t>WŁOKNINAFILTRG3/2000/20000</t>
  </si>
  <si>
    <t>A podstawa</t>
  </si>
  <si>
    <t>B podstawa</t>
  </si>
  <si>
    <t>C zew boki</t>
  </si>
  <si>
    <t>D zew boki</t>
  </si>
  <si>
    <t>E wew góra</t>
  </si>
  <si>
    <t>F wew góra</t>
  </si>
  <si>
    <t>Ramki</t>
  </si>
  <si>
    <t>Powirzchnia góry</t>
  </si>
  <si>
    <t>Powierzchnia podstawy</t>
  </si>
  <si>
    <t>Powierzchnia boków</t>
  </si>
  <si>
    <t>Izolacja</t>
  </si>
  <si>
    <t>Gramatura kg</t>
  </si>
  <si>
    <t>Gramatura T</t>
  </si>
  <si>
    <t>NITONAKRĘTKA M8</t>
  </si>
  <si>
    <t>Zamek Goebel</t>
  </si>
  <si>
    <t>Taśma zawias</t>
  </si>
  <si>
    <t>Puszka filtracyjna prostokątna</t>
  </si>
  <si>
    <t>Puszka rozprężna zwykła</t>
  </si>
  <si>
    <t>Puszka rozprężna z nitonakrętką</t>
  </si>
  <si>
    <t>Nitonakrętka M6</t>
  </si>
  <si>
    <t>NITONAKRĘTKA M6</t>
  </si>
  <si>
    <t>Skrzynka rozprężna z nitonakrętką</t>
  </si>
  <si>
    <t>Fi przyłącza</t>
  </si>
  <si>
    <t>COKD</t>
  </si>
  <si>
    <t>A zew boki</t>
  </si>
  <si>
    <t>B zew boki</t>
  </si>
  <si>
    <t>C podstawa</t>
  </si>
  <si>
    <t>D podstawa</t>
  </si>
  <si>
    <t>Cokół dachowy nieizolowany</t>
  </si>
  <si>
    <t>KAIFLEX/ST/25/SAMOPRZYLEP</t>
  </si>
  <si>
    <t>izolowana</t>
  </si>
  <si>
    <t xml:space="preserve">Skrzynka rozprężna </t>
  </si>
  <si>
    <t>Skrzynka rozprężna z nitonakrętką izolowana</t>
  </si>
  <si>
    <t>Siatka z ramką</t>
  </si>
  <si>
    <t>Profil ramki K20</t>
  </si>
  <si>
    <t>Profil ramki K30</t>
  </si>
  <si>
    <t>Cokół dachowy izolowany kauczukiem</t>
  </si>
  <si>
    <t>COKD-I-W</t>
  </si>
  <si>
    <t>COKD-I-W-V</t>
  </si>
  <si>
    <t>Cokół dachowy izolowany wełną tłumiącą</t>
  </si>
  <si>
    <t>Cokół dachowy izolowany wełną ventilam</t>
  </si>
  <si>
    <t>Puszka rozprężna rozdzielaczowa</t>
  </si>
  <si>
    <t>Skrzynka rozprężna rozdzielaczowa</t>
  </si>
  <si>
    <t>z ramką</t>
  </si>
  <si>
    <t>Skrzynka rozprężna rozdzielaczowa z ramką</t>
  </si>
  <si>
    <t>il.króćców</t>
  </si>
  <si>
    <t>ilość króćców</t>
  </si>
  <si>
    <t>Skrzynka rozprężna z ramką</t>
  </si>
  <si>
    <t>Cokół dachowy nieizolowany z ramką</t>
  </si>
  <si>
    <t>Wywietrzak Cylindryczny</t>
  </si>
  <si>
    <t>Waga</t>
  </si>
  <si>
    <t>masa</t>
  </si>
  <si>
    <t>średnica</t>
  </si>
  <si>
    <t>C</t>
  </si>
  <si>
    <t>D</t>
  </si>
  <si>
    <t>H</t>
  </si>
  <si>
    <t>E</t>
  </si>
  <si>
    <t>Profił Łopatki Czerpni</t>
  </si>
  <si>
    <t>cena</t>
  </si>
  <si>
    <t>Wyrzutnia dachowa CWDO-C</t>
  </si>
  <si>
    <t>BLACHA0,80X1500</t>
  </si>
  <si>
    <t>(bez filtra)</t>
  </si>
  <si>
    <t>typ -D</t>
  </si>
  <si>
    <t xml:space="preserve">typ-C </t>
  </si>
  <si>
    <t>Siatka 19x19</t>
  </si>
  <si>
    <t>Materiał</t>
  </si>
  <si>
    <t>Narożniki 30mm</t>
  </si>
  <si>
    <t>Narożnik 20mm</t>
  </si>
  <si>
    <t>Profil ramki 20mm</t>
  </si>
  <si>
    <t>Profil ramki 30mm</t>
  </si>
  <si>
    <t>(1,7mb)</t>
  </si>
  <si>
    <t>Blacha 0,8</t>
  </si>
  <si>
    <t>Zamek wielopłaszczyznowych duży</t>
  </si>
  <si>
    <t>Zamek do przepustnic jednopłasz.</t>
  </si>
  <si>
    <t>Zawias taśmowy</t>
  </si>
  <si>
    <t>Izolacja kauczukowa</t>
  </si>
  <si>
    <t>Włóknina filtracyjna</t>
  </si>
  <si>
    <t>Nitonakrętka M8</t>
  </si>
  <si>
    <t>Wełna mineralna</t>
  </si>
  <si>
    <t>Razem koszt</t>
  </si>
  <si>
    <t>Cena AJP H3</t>
  </si>
  <si>
    <t>Marża</t>
  </si>
  <si>
    <t>Masa</t>
  </si>
  <si>
    <t>Blacha kg</t>
  </si>
  <si>
    <t xml:space="preserve">Podstawa dachowa okrągła </t>
  </si>
  <si>
    <t>Wyrzutnia dachowa typu C okrągła (Chińczyk)</t>
  </si>
  <si>
    <t>Podstawa Dachowa okrąga PDI-O</t>
  </si>
  <si>
    <t>Podstawa dachowa prostokątna</t>
  </si>
  <si>
    <t>A kanał</t>
  </si>
  <si>
    <t>B kanał</t>
  </si>
  <si>
    <t>C Kołnierz</t>
  </si>
  <si>
    <t>D Kołnierz</t>
  </si>
  <si>
    <t>L Kanał</t>
  </si>
  <si>
    <t>Powirzchnia rury</t>
  </si>
  <si>
    <t>Powierzchnia kołnierza</t>
  </si>
  <si>
    <t>Otwór w kołnierzu</t>
  </si>
  <si>
    <t>Przejście dachowe okrągłe</t>
  </si>
  <si>
    <t>Razem Koszt</t>
  </si>
  <si>
    <t>Wełna tłumiąca</t>
  </si>
  <si>
    <t>Narożnik K20</t>
  </si>
  <si>
    <t>Narożnik K30</t>
  </si>
  <si>
    <t>(Armaflex)</t>
  </si>
  <si>
    <t>Podstawa Dachowa okrąga PDI-O-I</t>
  </si>
  <si>
    <t>Waga 0,6</t>
  </si>
  <si>
    <t>Waga 0,8</t>
  </si>
  <si>
    <t>Dla kanłów poniżej 1000mm</t>
  </si>
  <si>
    <t>Podstawa dachowa prostokątna PDQ-B</t>
  </si>
  <si>
    <t>Cena H3</t>
  </si>
  <si>
    <t>Narzut</t>
  </si>
  <si>
    <t>Marża AJP 2019-03 (Optima) - PROPOZYCJA</t>
  </si>
  <si>
    <t>Cena</t>
  </si>
  <si>
    <t>Puszka filtracyjna okrągła</t>
  </si>
  <si>
    <t>Otwór pod kolary</t>
  </si>
  <si>
    <t>Powierchnia kolarów</t>
  </si>
  <si>
    <t>Powierzchnie bez otworu</t>
  </si>
  <si>
    <t>Razem</t>
  </si>
  <si>
    <t>Puszka filtracyjna prostokątna PFP</t>
  </si>
  <si>
    <t>Puszka filtracyjna okrągła PFO</t>
  </si>
  <si>
    <t>Ilość króćców</t>
  </si>
  <si>
    <t>Cena sprz.</t>
  </si>
  <si>
    <t>Ramka 20,30</t>
  </si>
  <si>
    <t>Do poprawy</t>
  </si>
  <si>
    <t>Kanał osiatkowany</t>
  </si>
  <si>
    <t>Pole blachy</t>
  </si>
  <si>
    <t>Pole siatki</t>
  </si>
  <si>
    <t>cena jednostkowa</t>
  </si>
  <si>
    <t>Wartość</t>
  </si>
  <si>
    <t>Koszt</t>
  </si>
  <si>
    <t>BLACHA0.50X137</t>
  </si>
  <si>
    <t>Prostokątna</t>
  </si>
  <si>
    <t>cena j.</t>
  </si>
  <si>
    <t>Kuczuk</t>
  </si>
  <si>
    <t>Wymiar D</t>
  </si>
  <si>
    <t>Waga blachy</t>
  </si>
  <si>
    <t>Cena sprzedaży</t>
  </si>
  <si>
    <t>Długość</t>
  </si>
  <si>
    <t>Grubość wełny</t>
  </si>
  <si>
    <t>izolowana armaflex</t>
  </si>
  <si>
    <t>SRN-R-I-A</t>
  </si>
  <si>
    <t>Izolowana Armaflex</t>
  </si>
  <si>
    <t>Armaflex</t>
  </si>
  <si>
    <t>Oś napędu</t>
  </si>
  <si>
    <t>Narożniki 20</t>
  </si>
  <si>
    <t>Narożniki 30</t>
  </si>
  <si>
    <t>Profil ramki 20</t>
  </si>
  <si>
    <t>Profil ramki 30</t>
  </si>
  <si>
    <t>COKD-I-A</t>
  </si>
  <si>
    <t>TRZPIEŃPRZEP</t>
  </si>
  <si>
    <t>PROFILRAMKI20-P</t>
  </si>
  <si>
    <t>KOŁOZĘBATE</t>
  </si>
  <si>
    <t>NAROŻNIK-K30</t>
  </si>
  <si>
    <t>NAROŻNIK-K20</t>
  </si>
  <si>
    <t>PROFILCZERPNIG</t>
  </si>
  <si>
    <t>INSUL-ROLL 09</t>
  </si>
  <si>
    <t>OŚNAPĘDU 10X150</t>
  </si>
  <si>
    <t>ZAWIASTAŚMOWY</t>
  </si>
  <si>
    <t>Sprzedaż</t>
  </si>
  <si>
    <t>Gramatura blachy kulis</t>
  </si>
  <si>
    <t>fi spiro</t>
  </si>
  <si>
    <t>fi tłumika</t>
  </si>
  <si>
    <t>koszt spiro</t>
  </si>
  <si>
    <t>SPIRO200P40</t>
  </si>
  <si>
    <t>SPIRO250P45</t>
  </si>
  <si>
    <t>SPIRO355P50</t>
  </si>
  <si>
    <t>SPIRO400P50</t>
  </si>
  <si>
    <t>SPIRO450P50</t>
  </si>
  <si>
    <t>SPIRO500P60</t>
  </si>
  <si>
    <t>SPIRO560P60</t>
  </si>
  <si>
    <t>SPIRO630P60</t>
  </si>
  <si>
    <t>SPIRO710P60</t>
  </si>
  <si>
    <t>SPIRO800P60</t>
  </si>
  <si>
    <t>SPIRO900P70</t>
  </si>
  <si>
    <t>Spiro</t>
  </si>
  <si>
    <t>Grubość stali</t>
  </si>
  <si>
    <t>Cena stali</t>
  </si>
  <si>
    <t>Koszt pracowników</t>
  </si>
  <si>
    <t>roczny</t>
  </si>
  <si>
    <t>ilość dni roboczych</t>
  </si>
  <si>
    <t>dzień</t>
  </si>
  <si>
    <t>Koszt leasing maszyny/dzień</t>
  </si>
  <si>
    <t>Udział kosztów pośrednich</t>
  </si>
  <si>
    <t>Operator</t>
  </si>
  <si>
    <t>Inne</t>
  </si>
  <si>
    <t>Standard</t>
  </si>
  <si>
    <t>3mb</t>
  </si>
  <si>
    <t>Taśma 137</t>
  </si>
  <si>
    <t>Średnica rury [mm]</t>
  </si>
  <si>
    <t>Standardy  Grubości</t>
  </si>
  <si>
    <t>Grubość blachy wpisana w kalkulatorze (mm)</t>
  </si>
  <si>
    <t>długość rury - teoretycznie bez zamków - 3mb  rury z zamkami (mb)</t>
  </si>
  <si>
    <t xml:space="preserve">Powierzchnia (m2) </t>
  </si>
  <si>
    <t>waga m2 (kg)</t>
  </si>
  <si>
    <t>waga materiału na 3mb rury</t>
  </si>
  <si>
    <t>cena stali (kg)</t>
  </si>
  <si>
    <t>Koszt materiału (PLN)</t>
  </si>
  <si>
    <t>Założenie ilości wyprodukowanych rur dziennie (Szt)</t>
  </si>
  <si>
    <t xml:space="preserve">Koszt operatora dzienny (PLN) </t>
  </si>
  <si>
    <t>Koszt pomocnika, odbierającego dzienny (PLN)</t>
  </si>
  <si>
    <t>Koszt kierowcy 1 rurę (PLN)</t>
  </si>
  <si>
    <t>Koszt leasing spiro</t>
  </si>
  <si>
    <t>prąd maszyna na 1 rurę (PLN)</t>
  </si>
  <si>
    <t>Koszty pozostałe miesięczne wypadkowe na 1 rurę (PLN)</t>
  </si>
  <si>
    <t xml:space="preserve">Suma kosztów dodatkowych bez materiału na jedną rurę (PLN) </t>
  </si>
  <si>
    <t>Koszt całkowity (PLN)</t>
  </si>
  <si>
    <t>Narzut (PLN)</t>
  </si>
  <si>
    <t>Cena sprzedaży (PLN)</t>
  </si>
  <si>
    <t>Cena sprzedaży hurtowa (PLN)</t>
  </si>
  <si>
    <t>Taśma 137 mm</t>
  </si>
  <si>
    <t>Zapotrzebowanie na zamki 17mm</t>
  </si>
  <si>
    <t>Skok zamka 120mm</t>
  </si>
  <si>
    <t>Ilość zamków 25 szt/3mb rury</t>
  </si>
  <si>
    <t>SPIRO315P45</t>
  </si>
  <si>
    <t>Podstawa Dachowa okrąga PDII-O</t>
  </si>
  <si>
    <t>l</t>
  </si>
  <si>
    <t>Powierzchnia kulis 100</t>
  </si>
  <si>
    <t>Powierzchnia kulis 150</t>
  </si>
  <si>
    <t>Powierzchnia kulis 200</t>
  </si>
  <si>
    <t xml:space="preserve">Razem </t>
  </si>
  <si>
    <t>Cena Sprz.</t>
  </si>
  <si>
    <t>Cena wyprodukowania</t>
  </si>
  <si>
    <t>PROFILRAMKI30-P</t>
  </si>
  <si>
    <t xml:space="preserve">Stawka godzinowa </t>
  </si>
  <si>
    <t>Godzina pracy</t>
  </si>
  <si>
    <t>zł.</t>
  </si>
  <si>
    <t>Minuta pracy</t>
  </si>
  <si>
    <t>koszt pracy</t>
  </si>
  <si>
    <t>min.</t>
  </si>
  <si>
    <t>materiał + praca</t>
  </si>
  <si>
    <t>Profil S bok A 0,6</t>
  </si>
  <si>
    <t>Profil S bok B 0,6</t>
  </si>
  <si>
    <t>Wzmocnienie działowe bok A 0,8</t>
  </si>
  <si>
    <t>Wzmocnienie działowe bok B 0,8</t>
  </si>
  <si>
    <t>materiał</t>
  </si>
  <si>
    <t xml:space="preserve"> +   praca</t>
  </si>
  <si>
    <t>Cena produkcji na spiro</t>
  </si>
  <si>
    <t>materiał+praca</t>
  </si>
  <si>
    <t>na spiro</t>
  </si>
  <si>
    <t>Profil łopatki czerpni</t>
  </si>
  <si>
    <t>op.</t>
  </si>
  <si>
    <t>Wkręt samogwintujący pod imbus 4,2x19</t>
  </si>
  <si>
    <t>Wkręt</t>
  </si>
  <si>
    <t xml:space="preserve"> +     praca</t>
  </si>
  <si>
    <t>Podstawa 0,6</t>
  </si>
  <si>
    <t>Podstawa 0,8</t>
  </si>
  <si>
    <t>Daszek 0,8</t>
  </si>
  <si>
    <t>Narożniki wewnętrzne 0,8</t>
  </si>
  <si>
    <t>Narożniki zewnętrzny 0,8</t>
  </si>
  <si>
    <t>Profili S bok A 0,6</t>
  </si>
  <si>
    <t>Profili S bok B 0,6</t>
  </si>
  <si>
    <t>Wzmocnienia bok A 0,8</t>
  </si>
  <si>
    <t>Wzmocnienia bok B 0,8</t>
  </si>
  <si>
    <t>kg                     -</t>
  </si>
  <si>
    <t>kg            -</t>
  </si>
  <si>
    <t>koszt zmienny</t>
  </si>
  <si>
    <t>Koszt pracy</t>
  </si>
  <si>
    <t>praca + materiał</t>
  </si>
  <si>
    <t>op</t>
  </si>
  <si>
    <t>Wkręt samogwintujący pod imbus 4,2x19 (1000szt)</t>
  </si>
  <si>
    <t xml:space="preserve">Izolacja kauczukowa </t>
  </si>
  <si>
    <t>Wysokość h(e)/mm</t>
  </si>
  <si>
    <t>Izolacja grubość</t>
  </si>
  <si>
    <t>Nit zrywalny 3/6</t>
  </si>
  <si>
    <t>Waga powierzchni c.bl.0,6</t>
  </si>
  <si>
    <t>Waga powierzchni c.bl.0,8</t>
  </si>
  <si>
    <t>mb.</t>
  </si>
  <si>
    <t>BLACHAPERFOR RV 5-8/0,5 1000MM</t>
  </si>
  <si>
    <t>Blacha perforowana</t>
  </si>
  <si>
    <t>KNAUFBD060/100/2000/1200</t>
  </si>
  <si>
    <t>wymiar kulisy</t>
  </si>
  <si>
    <t>niestandarowe kulisy</t>
  </si>
  <si>
    <t>Wełna 50 welon jednostronny</t>
  </si>
  <si>
    <t>KNAUFBD060/100/2000/1200 BD</t>
  </si>
  <si>
    <t>Wełna 100  welon dwustronny</t>
  </si>
  <si>
    <t>waga :</t>
  </si>
  <si>
    <t>wełna 50 welon jednostronny</t>
  </si>
  <si>
    <t>wełna 100 welon jednostronny</t>
  </si>
  <si>
    <t>wełna 100 welon dwustronny</t>
  </si>
  <si>
    <t>Tłumik prostokąt TP</t>
  </si>
  <si>
    <t>Koszt jednej kulisy:</t>
  </si>
  <si>
    <t>Wełna 100  welon j.</t>
  </si>
  <si>
    <t>Wełna 100  welon d.</t>
  </si>
  <si>
    <t>Wełna 50 welon j.</t>
  </si>
  <si>
    <t>blacha kulisy 100</t>
  </si>
  <si>
    <t>blacha kulisy 150</t>
  </si>
  <si>
    <t>blacha kulisy 200</t>
  </si>
  <si>
    <t>blacha 0,6</t>
  </si>
  <si>
    <t>blacha 0,8</t>
  </si>
  <si>
    <t>Cena netto kulisy</t>
  </si>
  <si>
    <t xml:space="preserve">Cena sprzedaży </t>
  </si>
  <si>
    <t>Cena wyprodukowania kulisy</t>
  </si>
  <si>
    <t>fi zewnętrzne</t>
  </si>
  <si>
    <t xml:space="preserve">Narożniki </t>
  </si>
  <si>
    <t>Tłumik prostokąt TP-N.K</t>
  </si>
  <si>
    <t>Grubość blachy kanału</t>
  </si>
  <si>
    <t>Grubość blachy kulisy</t>
  </si>
  <si>
    <t>INSUL-ROLL 19</t>
  </si>
  <si>
    <t>Puszka rozprężna okrągła zwykła</t>
  </si>
  <si>
    <t>Puszka  rozprężna okrągła</t>
  </si>
  <si>
    <t>Puszka  rozprężna okrągła z nitonakrętką</t>
  </si>
  <si>
    <t>Puszka  rozprężna okrągła z nitonakrętką izolowana</t>
  </si>
  <si>
    <t>Powierzchnia wzmocnienia</t>
  </si>
  <si>
    <t xml:space="preserve">Puszka rozprężna okrągła </t>
  </si>
  <si>
    <t>z nitonakrętką</t>
  </si>
  <si>
    <t>z nitonakrętką izolowana</t>
  </si>
  <si>
    <t>COROPLAST 75X100 LATO 930</t>
  </si>
  <si>
    <t>taśma aluminiowa</t>
  </si>
  <si>
    <t>(100mb)</t>
  </si>
  <si>
    <t>(2m2)</t>
  </si>
  <si>
    <t>(1000szt)</t>
  </si>
  <si>
    <t xml:space="preserve">Cokół dachowy </t>
  </si>
  <si>
    <t>Cokół dachowy  z ramką</t>
  </si>
  <si>
    <t>Cokół dachowy (kauczuk)</t>
  </si>
  <si>
    <t>Cokół dachowy (wełna tłumiąca)</t>
  </si>
  <si>
    <t>Cokół dachowy (wełna ventilam)</t>
  </si>
  <si>
    <t>Puszka rozprężna z ramką</t>
  </si>
  <si>
    <t>prostokątna</t>
  </si>
  <si>
    <t xml:space="preserve">Filtr kasetowy </t>
  </si>
  <si>
    <t xml:space="preserve">Wyrzutnia ścięta okrągła </t>
  </si>
  <si>
    <t xml:space="preserve">osiatkowana </t>
  </si>
  <si>
    <t>profilramki 20</t>
  </si>
  <si>
    <t>profilramki 30</t>
  </si>
  <si>
    <t>narożnik 20</t>
  </si>
  <si>
    <t>narożnik 30</t>
  </si>
  <si>
    <t xml:space="preserve">siatkacasanet </t>
  </si>
  <si>
    <t>Wełna do tłumików okrągłych 40mm</t>
  </si>
  <si>
    <t>flizelina</t>
  </si>
  <si>
    <t>Grubość izolacji</t>
  </si>
  <si>
    <t>INSUL-ROLL 13</t>
  </si>
  <si>
    <t>INSUL-ROLL 32</t>
  </si>
  <si>
    <t>(11m2)</t>
  </si>
  <si>
    <t>(8m2)</t>
  </si>
  <si>
    <t>(4m2)</t>
  </si>
  <si>
    <t xml:space="preserve">Cena </t>
  </si>
  <si>
    <t>N</t>
  </si>
  <si>
    <t>Blacha 0,5</t>
  </si>
  <si>
    <t>Podstawa pod wentylator (kauczuk)</t>
  </si>
  <si>
    <t>POD-I-A</t>
  </si>
  <si>
    <t>Czerpnia dachowa lamelowa N.L</t>
  </si>
  <si>
    <t>Wysokość h(stopka)/mm</t>
  </si>
  <si>
    <t>h</t>
  </si>
  <si>
    <t>e</t>
  </si>
  <si>
    <t>ilość lameli</t>
  </si>
  <si>
    <t>(ALNOR)</t>
  </si>
  <si>
    <t>(SMAY)</t>
  </si>
  <si>
    <t>Czerpnia dachowa lamelowa  (ALNOR)</t>
  </si>
  <si>
    <t>Czerpnia dachowa lamelowa  (SMAY)</t>
  </si>
  <si>
    <t>Wełna do tłumików okrągłych 50mm</t>
  </si>
  <si>
    <t>BLACHA0,5X137 II GAT.</t>
  </si>
  <si>
    <t>wysokość  lam.</t>
  </si>
  <si>
    <t>wysokość lam.</t>
  </si>
  <si>
    <t xml:space="preserve">ilość lameli </t>
  </si>
  <si>
    <t>wysokość stopy</t>
  </si>
  <si>
    <t>Czerpnia/wyrzutnia lamelowa</t>
  </si>
  <si>
    <t>t</t>
  </si>
  <si>
    <t>Powierchnia nypla</t>
  </si>
  <si>
    <t>Powierzchnia całkowita skorygowana o otwór</t>
  </si>
  <si>
    <t>Powierzchnia góry</t>
  </si>
  <si>
    <t>NITZRYWALNY4/12</t>
  </si>
  <si>
    <t>BLACHAPERFOR RV 5-8/0,5 KRĄG</t>
  </si>
  <si>
    <t>Blacha perforowana 1m</t>
  </si>
  <si>
    <t>Blacha perforowana 1,5m</t>
  </si>
  <si>
    <t>Filtr włókninowy do puszki</t>
  </si>
  <si>
    <t>Typ</t>
  </si>
  <si>
    <t>blacha do  fi700</t>
  </si>
  <si>
    <t>blacha do fi1000</t>
  </si>
  <si>
    <t>blacha powyżej fi1000</t>
  </si>
  <si>
    <t xml:space="preserve">wzmocnienie </t>
  </si>
  <si>
    <t>2x wzmocnienie</t>
  </si>
  <si>
    <t>WKRĘT IMBUS 4,2X16</t>
  </si>
  <si>
    <t>ALUCYNK ECO CHEMICAL</t>
  </si>
  <si>
    <t>Cynk w sprayu</t>
  </si>
  <si>
    <t xml:space="preserve">ALUCYNK ECO CHEMICAL </t>
  </si>
  <si>
    <t xml:space="preserve">typ-A </t>
  </si>
  <si>
    <t>Pole blachy obudowy</t>
  </si>
  <si>
    <t>Pole  blachy daszku</t>
  </si>
  <si>
    <r>
      <t>Wymiar A</t>
    </r>
    <r>
      <rPr>
        <sz val="11"/>
        <color theme="1"/>
        <rFont val="Calibri"/>
        <family val="2"/>
        <charset val="238"/>
        <scheme val="minor"/>
      </rPr>
      <t>(większy)</t>
    </r>
  </si>
  <si>
    <t>Wyrzutnia dachowa CWD-A</t>
  </si>
  <si>
    <t>Wyrzutnia dachowa WDQ-E</t>
  </si>
  <si>
    <t>typ-E</t>
  </si>
  <si>
    <t>Wyrzutnia dachowa typu E  WDQ-E</t>
  </si>
  <si>
    <t>NAKRĘTKAM6</t>
  </si>
  <si>
    <t>NAKRĘTKAZŁĄCZNA M6</t>
  </si>
  <si>
    <t>PODKŁADKA M6 1X</t>
  </si>
  <si>
    <t>ŚRUBA M6X40</t>
  </si>
  <si>
    <t>NIBCO MUFA 3/4"</t>
  </si>
  <si>
    <t>Nakrętka M6 ocynk</t>
  </si>
  <si>
    <t>Nakrętka złączna M6</t>
  </si>
  <si>
    <t>nakrętka M6 ocynk</t>
  </si>
  <si>
    <t>nakrętka złączna M6</t>
  </si>
  <si>
    <t>podkładka M6 1xposzerzana</t>
  </si>
  <si>
    <t>Podkładka M6 1xposzerzana</t>
  </si>
  <si>
    <t>śruba M6x40</t>
  </si>
  <si>
    <t>Śruba M6x40</t>
  </si>
  <si>
    <t>NIBCO Mufa 3/4"</t>
  </si>
  <si>
    <t>Pole  blachy  stopy</t>
  </si>
  <si>
    <t>Pole blachy okapnika</t>
  </si>
  <si>
    <t>Nit zrywalny 4/12</t>
  </si>
  <si>
    <t>h (bez  stopy)</t>
  </si>
  <si>
    <t xml:space="preserve">skos </t>
  </si>
  <si>
    <t>m2 0,8</t>
  </si>
  <si>
    <t>Wyrzutnia dachowa typu A  CWD-A</t>
  </si>
  <si>
    <t xml:space="preserve">Ramka </t>
  </si>
  <si>
    <t>Przedłużenie pióra (wymiar niepełny)</t>
  </si>
  <si>
    <t>Wywietrzak cylindryczny</t>
  </si>
  <si>
    <t>kanał osiatkowany</t>
  </si>
  <si>
    <t>COROPLAST 75X100 ZIMA 1530</t>
  </si>
  <si>
    <t>lakier</t>
  </si>
  <si>
    <t>Typ R/B</t>
  </si>
  <si>
    <t>typ</t>
  </si>
  <si>
    <t>koła/osie/łożyska</t>
  </si>
  <si>
    <t>obudowa kół przy Belimo</t>
  </si>
  <si>
    <t>blacha 0,6 obudowa belimo</t>
  </si>
  <si>
    <t>dod. za Belimo</t>
  </si>
  <si>
    <t>Oś napędu ( pręt)</t>
  </si>
  <si>
    <t>Zamek do przepustnicy jedno. &gt;500</t>
  </si>
  <si>
    <t>ZAMEKDOPRZEPOKRĄGŁYCH</t>
  </si>
  <si>
    <t>Zamek do przepustnicy jedno. &lt;500</t>
  </si>
  <si>
    <t>BLACHA0,5X2000X1000NIERDZ</t>
  </si>
  <si>
    <t>Blacha 0,5 nierdzewna</t>
  </si>
  <si>
    <t>arkusz</t>
  </si>
  <si>
    <t xml:space="preserve">Rura gładka </t>
  </si>
  <si>
    <t>Rura gładka nierdzewna</t>
  </si>
  <si>
    <t>drut do zgrzewarki liniowej</t>
  </si>
  <si>
    <t>Powierzchnia izolacji ścian</t>
  </si>
  <si>
    <t>Powierzchnia izolacji dekla</t>
  </si>
  <si>
    <t>Kauczuk 9mm (dekiel)</t>
  </si>
  <si>
    <t xml:space="preserve">Kauczuk </t>
  </si>
  <si>
    <t xml:space="preserve">Typ W/P </t>
  </si>
  <si>
    <t xml:space="preserve">Wymiar A </t>
  </si>
  <si>
    <t>SMAY</t>
  </si>
  <si>
    <t>ALNOR</t>
  </si>
  <si>
    <t>NITZRYWALNY 4/6</t>
  </si>
  <si>
    <t>Nit zrywalny 4/6</t>
  </si>
  <si>
    <t>średnia</t>
  </si>
  <si>
    <t>Wymiar płaszcza (standard)</t>
  </si>
  <si>
    <t>KAUCZUK 10MM</t>
  </si>
  <si>
    <t>VENTILAM ALU 50MM</t>
  </si>
  <si>
    <t>FLIZELINA 100CM</t>
  </si>
  <si>
    <t>Aereco/Harman</t>
  </si>
  <si>
    <t>typ podstawy</t>
  </si>
  <si>
    <t>Nitonakrętki M6</t>
  </si>
  <si>
    <t>Nitonakrętki M8</t>
  </si>
  <si>
    <t>(20m2)</t>
  </si>
  <si>
    <t>ŚRUBA M6X20 SKRZYDELKOWA</t>
  </si>
  <si>
    <t>śruba motylkowa</t>
  </si>
  <si>
    <t>Blacha 0,9</t>
  </si>
  <si>
    <t>blacha 0,9</t>
  </si>
  <si>
    <t>BLACHA0,90X1500</t>
  </si>
  <si>
    <t>powierzchnia siatki</t>
  </si>
  <si>
    <t>Siatka perforowana</t>
  </si>
  <si>
    <t>siatka tradycyjna</t>
  </si>
  <si>
    <t>ZAMEK GOEBEL 40/F</t>
  </si>
  <si>
    <t>Blacha 0,5 spiro II Gat.</t>
  </si>
  <si>
    <t>PROFILPRZEPUSTNICAWILOPŁ</t>
  </si>
  <si>
    <t>BRAK</t>
  </si>
  <si>
    <t>średnia sym.</t>
  </si>
  <si>
    <t>średnia asym.</t>
  </si>
  <si>
    <t>KAUCZUK 19MM</t>
  </si>
  <si>
    <t>A (szerokość)</t>
  </si>
  <si>
    <t>B (wysokość)</t>
  </si>
  <si>
    <t>Tłumik Aereco</t>
  </si>
  <si>
    <t>Powierzchnia płaszczy</t>
  </si>
  <si>
    <t>kg  0,6</t>
  </si>
  <si>
    <t>kg  0,8</t>
  </si>
  <si>
    <t>VENTILAM ALU 20MM</t>
  </si>
  <si>
    <t>wełna do tłumików okrągłych 20mm</t>
  </si>
  <si>
    <t>BLACHAPERFOR RV 5-8/0,5 KRĄG 1250MM</t>
  </si>
  <si>
    <t>Blacha perforowana 1,25m</t>
  </si>
  <si>
    <t>Tłumik AERECO</t>
  </si>
  <si>
    <t>Średnica wew.</t>
  </si>
  <si>
    <t>Średnica zew.</t>
  </si>
  <si>
    <t>Kulisa</t>
  </si>
  <si>
    <t>Ilość nitonakrętek</t>
  </si>
  <si>
    <t>Średnia nitonakrętek</t>
  </si>
  <si>
    <t>`</t>
  </si>
  <si>
    <t>grubość izolacji</t>
  </si>
  <si>
    <t>fi wewnętrzne</t>
  </si>
  <si>
    <t>L- długość</t>
  </si>
  <si>
    <t>Powierzchnia siatki kulisy</t>
  </si>
  <si>
    <t>Powierzchnia wełny kulisy</t>
  </si>
  <si>
    <t>kg 0,8</t>
  </si>
  <si>
    <t>kg 0,6</t>
  </si>
  <si>
    <t>Powierzchnia dekli (2szt.)</t>
  </si>
  <si>
    <t>Powierzchnia kolarów (2szt.)</t>
  </si>
  <si>
    <t>Powierzchnia owiewki (2szt.)</t>
  </si>
  <si>
    <t>Powierzchnia dekla kulisy (2szt.)</t>
  </si>
  <si>
    <t>Powierzchnia mocowania kulisy (2szt.)</t>
  </si>
  <si>
    <t>NITONAKRĘTKA M10</t>
  </si>
  <si>
    <t>Nitonakrętka M10</t>
  </si>
  <si>
    <t>SILIKON UNIWERSALNY STINGER</t>
  </si>
  <si>
    <t>silikon neutralny</t>
  </si>
  <si>
    <t>Wełna do kulisy</t>
  </si>
  <si>
    <t>silikon</t>
  </si>
  <si>
    <t>nitonakrętka M8</t>
  </si>
  <si>
    <t>nitonakrętka M10</t>
  </si>
  <si>
    <t>nitonakrętki</t>
  </si>
  <si>
    <t>kulisa</t>
  </si>
  <si>
    <t>szersza wełna</t>
  </si>
  <si>
    <t>węższa wełna</t>
  </si>
  <si>
    <t>Powierzchnia wełny (szersza) od środka</t>
  </si>
  <si>
    <t>Powierzchnia wełny (węższa) od zew.</t>
  </si>
  <si>
    <t>wym. siatki</t>
  </si>
  <si>
    <t>drut</t>
  </si>
  <si>
    <t>DRUT DO ZGRZEWARKI LINIOWEJ</t>
  </si>
  <si>
    <t>taśma</t>
  </si>
  <si>
    <t>wysokość kulisy</t>
  </si>
  <si>
    <t xml:space="preserve">szerokość kulisy </t>
  </si>
  <si>
    <t>długość kulisy</t>
  </si>
  <si>
    <t>t.pitagorasa</t>
  </si>
  <si>
    <t xml:space="preserve">                                     Suma bez kulisy</t>
  </si>
  <si>
    <t xml:space="preserve">                                     Suma kulisy</t>
  </si>
  <si>
    <t>czerpnia ścienna CWS</t>
  </si>
  <si>
    <t>koszt pracy tłumik</t>
  </si>
  <si>
    <t>koszt pracy kulisa</t>
  </si>
  <si>
    <t>Materiał + praca</t>
  </si>
  <si>
    <t xml:space="preserve">Flizelina </t>
  </si>
  <si>
    <t>SIATKACASANET19X19 L=1500</t>
  </si>
  <si>
    <t>Siatka 19x19 1,5m</t>
  </si>
  <si>
    <t>Siatka 19x19 1m</t>
  </si>
  <si>
    <t>Siatka 1m</t>
  </si>
  <si>
    <t>Siatka 1,5m</t>
  </si>
  <si>
    <t>powierzchnia</t>
  </si>
  <si>
    <t>NIE</t>
  </si>
  <si>
    <t>Silikon</t>
  </si>
  <si>
    <t>Taśma aluiniowa</t>
  </si>
  <si>
    <t>Otwory</t>
  </si>
  <si>
    <t>Kryza  KR</t>
  </si>
  <si>
    <t>Średnica wewnętrzna</t>
  </si>
  <si>
    <t>Średnica zewnętrzna</t>
  </si>
  <si>
    <t>blacha kryzy do  fi400</t>
  </si>
  <si>
    <t>blacha kryzy powyżej fi400</t>
  </si>
  <si>
    <t>blacha nypla powyżej fi400</t>
  </si>
  <si>
    <t>blacha  nypla do fi400</t>
  </si>
  <si>
    <t>Razem materiału</t>
  </si>
  <si>
    <t>40m2</t>
  </si>
  <si>
    <t>doliczony koszt dostawy 100zł do rolki</t>
  </si>
  <si>
    <t>Kątownik, Ceownik</t>
  </si>
  <si>
    <t>Kątownik/Ceownik</t>
  </si>
  <si>
    <t>Wysokość</t>
  </si>
  <si>
    <t>profil:</t>
  </si>
  <si>
    <t>blacha:</t>
  </si>
  <si>
    <t>powierzchnia blachy (kątownik)</t>
  </si>
  <si>
    <t>powierzchnia blachy (ceownik)</t>
  </si>
  <si>
    <t>Taca ociekowa</t>
  </si>
  <si>
    <t>Długość H (rant)</t>
  </si>
  <si>
    <t>Odpływ</t>
  </si>
  <si>
    <t>Typ (koperta, prosta)</t>
  </si>
  <si>
    <t>zł</t>
  </si>
  <si>
    <t>dodatkowe koszty</t>
  </si>
  <si>
    <t>SUMA</t>
  </si>
  <si>
    <t>CENA</t>
  </si>
  <si>
    <t>&lt;=200</t>
  </si>
  <si>
    <t>&lt;=300</t>
  </si>
  <si>
    <t>&lt;=400</t>
  </si>
  <si>
    <t>&lt;=500</t>
  </si>
  <si>
    <t>&lt;=600</t>
  </si>
  <si>
    <t>&lt;=700</t>
  </si>
  <si>
    <t>&lt;=800</t>
  </si>
  <si>
    <t>&lt;=900</t>
  </si>
  <si>
    <t>&lt;=1000</t>
  </si>
  <si>
    <t>&lt;=1200</t>
  </si>
  <si>
    <t>&lt;=1400</t>
  </si>
  <si>
    <t>&lt;=1600</t>
  </si>
  <si>
    <t>&lt;=1800</t>
  </si>
  <si>
    <t>&lt;=1999</t>
  </si>
  <si>
    <t>&gt;=2000</t>
  </si>
  <si>
    <t>Nypel/Mufa</t>
  </si>
  <si>
    <t>VENTILAM ALU PLUS 50MM</t>
  </si>
  <si>
    <t>Kierowca/pomocnik</t>
  </si>
  <si>
    <t>Prąd maszyna 12kW/1kwh-1,1pln/6h</t>
  </si>
  <si>
    <t>nitonakrętka</t>
  </si>
  <si>
    <t>śruba skrzydełkowa</t>
  </si>
  <si>
    <t>Powierzchnia połączenia czapy z rurą</t>
  </si>
  <si>
    <t>Rewizja - ilość śrub</t>
  </si>
  <si>
    <t>M10</t>
  </si>
  <si>
    <t>VENTILAM ALU 40MM</t>
  </si>
  <si>
    <t>KAUCZUK 13MM</t>
  </si>
  <si>
    <t>Kryza, Rozeta</t>
  </si>
  <si>
    <t>(656szt) na 1kg</t>
  </si>
  <si>
    <t>nit</t>
  </si>
  <si>
    <t>(25kg)</t>
  </si>
  <si>
    <t>Kanał wentylacyjny</t>
  </si>
  <si>
    <t>KPP-A</t>
  </si>
  <si>
    <t>kanał o boku do 1000 mm</t>
  </si>
  <si>
    <t>KPP-B</t>
  </si>
  <si>
    <t>KPP-C</t>
  </si>
  <si>
    <t>KPP-D</t>
  </si>
  <si>
    <t>kanał o boku od 2001</t>
  </si>
  <si>
    <t>kanał o boku od 1401 do 2000 mm</t>
  </si>
  <si>
    <t>kanał o boku od 1001 do 1400 mm</t>
  </si>
  <si>
    <t>Klasa szczelności</t>
  </si>
  <si>
    <t>kanał wentylacjyjny</t>
  </si>
  <si>
    <t xml:space="preserve">V-TRAP/USOL </t>
  </si>
  <si>
    <t>Średnica (nypla)</t>
  </si>
  <si>
    <t>SIATKACASANET6X6</t>
  </si>
  <si>
    <t>Nit</t>
  </si>
  <si>
    <t xml:space="preserve"> ZA RAL</t>
  </si>
  <si>
    <t>Malowanie RAL</t>
  </si>
  <si>
    <t>(Netto)</t>
  </si>
  <si>
    <t>wyg p. - 50mm</t>
  </si>
  <si>
    <t>długość rury</t>
  </si>
  <si>
    <t>Standardowe kulisy</t>
  </si>
  <si>
    <t xml:space="preserve">KNAUFBD060/100/2000/1200 </t>
  </si>
  <si>
    <t>Wełna 100  welon jednostronny ( mamy tylko 2 stronny)</t>
  </si>
  <si>
    <t>Redukcja okrągła</t>
  </si>
  <si>
    <t>Wymiar A (fi)</t>
  </si>
  <si>
    <t>Wymiar B (fi)</t>
  </si>
  <si>
    <t>A (fi)</t>
  </si>
  <si>
    <t>B (fi)</t>
  </si>
  <si>
    <t>Długość L/mm (bez nypel/mufa)</t>
  </si>
  <si>
    <t>Rabat :</t>
  </si>
  <si>
    <t xml:space="preserve"> Kalkulacja</t>
  </si>
  <si>
    <t xml:space="preserve">Szerokość </t>
  </si>
  <si>
    <t>Brak</t>
  </si>
  <si>
    <t>wartość pod.</t>
  </si>
  <si>
    <t>wartość rury</t>
  </si>
  <si>
    <t>Cena za drut</t>
  </si>
  <si>
    <t xml:space="preserve">długość rury </t>
  </si>
  <si>
    <t xml:space="preserve">koszt pracy </t>
  </si>
  <si>
    <t>Wartość rury</t>
  </si>
  <si>
    <t>Góra - 150mm</t>
  </si>
  <si>
    <t>wysokość wyjścia</t>
  </si>
  <si>
    <t>VENTILAM ALU 30MM</t>
  </si>
  <si>
    <t>wełna do tłumików okrągłych 30mm</t>
  </si>
  <si>
    <t>5m2</t>
  </si>
  <si>
    <t xml:space="preserve">Ventilam Alu Plus 50mm </t>
  </si>
  <si>
    <t>6m2</t>
  </si>
  <si>
    <t>VENTILAM ALU PLUS 20MM</t>
  </si>
  <si>
    <t>12m2</t>
  </si>
  <si>
    <t xml:space="preserve">Ventilam Alu Plus 20mm </t>
  </si>
  <si>
    <t>VENTILAM ALU PLUS 30MM</t>
  </si>
  <si>
    <t xml:space="preserve">Ventilam Alu Plus 30mm </t>
  </si>
  <si>
    <t>8m2</t>
  </si>
  <si>
    <t>VENTILAM ALU PLUS 40MM</t>
  </si>
  <si>
    <t xml:space="preserve">Ventilam Alu Plus 40mm </t>
  </si>
  <si>
    <t>Wełna z klejem</t>
  </si>
  <si>
    <t>Powierzchnia rury zewnętrznej</t>
  </si>
  <si>
    <t>Powierzchnia redukcji</t>
  </si>
  <si>
    <t>Powierzchnia dekli</t>
  </si>
  <si>
    <r>
      <t>Rura gładka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Rura izol. (dek.)</t>
    </r>
  </si>
  <si>
    <t>koszt pracy samej rury</t>
  </si>
  <si>
    <t>koszt pracy rury z izol. I dek.</t>
  </si>
  <si>
    <t>cena za dekiel</t>
  </si>
  <si>
    <t>cena za redukcje</t>
  </si>
  <si>
    <t>Wyrzutnia dachowa WD-E</t>
  </si>
  <si>
    <t>nitonakrętka M6</t>
  </si>
  <si>
    <t xml:space="preserve">Średnica środek </t>
  </si>
  <si>
    <t>Średnica dolna</t>
  </si>
  <si>
    <t>Średnica górna</t>
  </si>
  <si>
    <t>blacha perforowana</t>
  </si>
  <si>
    <t>Długość góra</t>
  </si>
  <si>
    <t>Długość dół</t>
  </si>
  <si>
    <t>m2 góra</t>
  </si>
  <si>
    <t>m2 dół</t>
  </si>
  <si>
    <t>Wyrzutnia dachowa typu E  WD-E</t>
  </si>
  <si>
    <t>okapnik</t>
  </si>
  <si>
    <t>wspornik okapnika</t>
  </si>
  <si>
    <t>Zakończenie lewe</t>
  </si>
  <si>
    <t>Zakończenie prawe</t>
  </si>
  <si>
    <t>SUMA blacha m2:</t>
  </si>
  <si>
    <t>koszt pracy za dekiel/redukcje</t>
  </si>
  <si>
    <t>Suma dla samej rury</t>
  </si>
  <si>
    <t>Suma dla rury z izolacją/D/R</t>
  </si>
  <si>
    <t xml:space="preserve">Cena AJP </t>
  </si>
  <si>
    <t>Okap wentylacyjny</t>
  </si>
  <si>
    <t>Wymiar A (dół)</t>
  </si>
  <si>
    <t>Wymiar B (dół)</t>
  </si>
  <si>
    <t>Wymiar A (góra)</t>
  </si>
  <si>
    <t>Wymiar B (góra)</t>
  </si>
  <si>
    <t xml:space="preserve">Średnica </t>
  </si>
  <si>
    <t>Wymiar A (góra) (wylot)</t>
  </si>
  <si>
    <t>Wymiar  B (góra) (wylot)</t>
  </si>
  <si>
    <t>h1 (dla boków A i a):</t>
  </si>
  <si>
    <t>h2 (dla boków B i b):</t>
  </si>
  <si>
    <t>powierzchnia blachy boki</t>
  </si>
  <si>
    <t>powierzchnia blachy góra</t>
  </si>
  <si>
    <t>powierzchnia króćca</t>
  </si>
  <si>
    <t>nit 4/6</t>
  </si>
  <si>
    <t xml:space="preserve">Średnica przyłącza </t>
  </si>
  <si>
    <t>Wymiar A (dół) (wlot)</t>
  </si>
  <si>
    <t>Wymiar  B (dół) (wlot)</t>
  </si>
  <si>
    <t>nity</t>
  </si>
  <si>
    <t>Razem bez R.</t>
  </si>
  <si>
    <t xml:space="preserve"> Ramka</t>
  </si>
  <si>
    <t>nierdzewny</t>
  </si>
  <si>
    <t>Okap wentylacyjny nierdzewny</t>
  </si>
  <si>
    <t>PROFILK20NIERDZEWNY</t>
  </si>
  <si>
    <t>Profil ramki 20mm nierdzewny</t>
  </si>
  <si>
    <t>PROFILK30NIERDZEWNY</t>
  </si>
  <si>
    <t>Profil ramki 30mm nierdzewny</t>
  </si>
  <si>
    <t>NAROŻNIKNIERDZ20</t>
  </si>
  <si>
    <t>Narożnik 20mm nierdzewny</t>
  </si>
  <si>
    <t>NAROŻNIKNIERDZ30</t>
  </si>
  <si>
    <t>Narożniki 30mm nierdzewny</t>
  </si>
  <si>
    <t>Narożnik 20 nierdzewny</t>
  </si>
  <si>
    <t>Narożnik 30 nierdzewny</t>
  </si>
  <si>
    <t>Profil ramki 20 nierdzewny</t>
  </si>
  <si>
    <t>Profil ramki 30 nierdzewny</t>
  </si>
  <si>
    <t>kauczuk 9mm (tylko rewizja)</t>
  </si>
  <si>
    <t>Powierzchnia  obudowy</t>
  </si>
  <si>
    <t>Powierzchnia  prowadnicy filtra</t>
  </si>
  <si>
    <t>Przepustnice okrągłe fi:</t>
  </si>
  <si>
    <t>Cena:</t>
  </si>
  <si>
    <t>Dopłata za przepustnicę</t>
  </si>
  <si>
    <t>Znalezienie pozycji w tabeli</t>
  </si>
  <si>
    <t>Pobranie 4 cen "sąsiadujących"</t>
  </si>
  <si>
    <t>Pozycja kolumny (szer)</t>
  </si>
  <si>
    <t>Pozycja wiersza (wys.)</t>
  </si>
  <si>
    <t>Cena lewa góra</t>
  </si>
  <si>
    <t>Cena prawa góra</t>
  </si>
  <si>
    <t>Cena lewa dół</t>
  </si>
  <si>
    <t>Cena prawa dół</t>
  </si>
  <si>
    <t>wymiary graniczne</t>
  </si>
  <si>
    <t>szer_mniejsza (x1)</t>
  </si>
  <si>
    <t>Szer_większa (x2)</t>
  </si>
  <si>
    <t>wys_mniejsza (y1)</t>
  </si>
  <si>
    <t>wys_wieksza (y2)</t>
  </si>
  <si>
    <t>Cena szer dół</t>
  </si>
  <si>
    <t>Cena szer góra</t>
  </si>
  <si>
    <t>Wynik finalny</t>
  </si>
  <si>
    <t>Generowanie ceny</t>
  </si>
  <si>
    <t xml:space="preserve"> </t>
  </si>
  <si>
    <t>PWII Przepustnica Wielopłaszczyznowa  - 08.04.2026</t>
  </si>
  <si>
    <t>X</t>
  </si>
  <si>
    <t xml:space="preserve">SMAY plus 10% </t>
  </si>
  <si>
    <t>NIT 4X6 INOX</t>
  </si>
  <si>
    <t>nit 4/6 nierdzewny</t>
  </si>
  <si>
    <t>Nit zrywalny 4/6 nierdzewny</t>
  </si>
  <si>
    <t>Zamek Goebel 40/F ocynk</t>
  </si>
  <si>
    <t>plus 10%</t>
  </si>
  <si>
    <t>ZS- CZERPNIE ŚCIENNE  - 10.04.2026</t>
  </si>
  <si>
    <r>
      <t xml:space="preserve"> </t>
    </r>
    <r>
      <rPr>
        <b/>
        <sz val="11"/>
        <color rgb="FFFF0000"/>
        <rFont val="Arial"/>
        <family val="2"/>
        <charset val="238"/>
      </rPr>
      <t>C6 (FI)</t>
    </r>
    <r>
      <rPr>
        <b/>
        <sz val="11"/>
        <color theme="1"/>
        <rFont val="Arial"/>
        <family val="2"/>
        <charset val="238"/>
      </rPr>
      <t xml:space="preserve">  \  </t>
    </r>
    <r>
      <rPr>
        <b/>
        <sz val="11"/>
        <color theme="4"/>
        <rFont val="Arial"/>
        <family val="2"/>
        <charset val="238"/>
      </rPr>
      <t>C7 (L)</t>
    </r>
  </si>
  <si>
    <t>Malowanie epoksydem</t>
  </si>
  <si>
    <t>KPP-A X</t>
  </si>
  <si>
    <t>kanał do 1000 mm nierdzewny</t>
  </si>
  <si>
    <t>KPP-B X</t>
  </si>
  <si>
    <t>kanał od 1001 do 1400 mm nierdzewny</t>
  </si>
  <si>
    <t>kanał od 1401 do 2000 mm nierdzewny</t>
  </si>
  <si>
    <t>Cena netto ocynk</t>
  </si>
  <si>
    <t>Cena netto nierdzewka</t>
  </si>
  <si>
    <t>Cena ocynk</t>
  </si>
  <si>
    <t>Cena nierdzewka</t>
  </si>
  <si>
    <t>KPP-C X</t>
  </si>
  <si>
    <t>usługa lakierowania (jednostronnie)</t>
  </si>
  <si>
    <t xml:space="preserve">usługa lakierowania </t>
  </si>
  <si>
    <t>Klasa B</t>
  </si>
  <si>
    <t xml:space="preserve">klasa szczelności B dopłata </t>
  </si>
  <si>
    <t>Klasa C</t>
  </si>
  <si>
    <t>klasa szczelności C dopłata</t>
  </si>
  <si>
    <t>Olejo</t>
  </si>
  <si>
    <t>klasa szczelności olejo dopłata</t>
  </si>
  <si>
    <t>epoksyd</t>
  </si>
  <si>
    <t>Epoksyd</t>
  </si>
  <si>
    <t xml:space="preserve">Średnica fi  </t>
  </si>
  <si>
    <t>V-TRAP/USOL RAL</t>
  </si>
  <si>
    <t>V-TRAP czerpnia</t>
  </si>
  <si>
    <t>V-TRAP wyrzutnia</t>
  </si>
  <si>
    <t>USOL czerpnia</t>
  </si>
  <si>
    <t>USOL wyrzutnia</t>
  </si>
  <si>
    <t>PROFIL ALU.PIÓRO</t>
  </si>
  <si>
    <t>(3,125m2)</t>
  </si>
  <si>
    <t>BLACHAPERFOR2 QG 10-12</t>
  </si>
  <si>
    <t>INDUSTRIAL60</t>
  </si>
  <si>
    <t>Powierzchnia nypli</t>
  </si>
  <si>
    <t>koszt wygięcia</t>
  </si>
  <si>
    <t>cena blachy do sprzedaży</t>
  </si>
  <si>
    <t>Kopertowa</t>
  </si>
  <si>
    <t>WKRĘT IMBUS 4,2X19</t>
  </si>
  <si>
    <t>Waga blachy 0,6</t>
  </si>
  <si>
    <t>Waga blachy 0,8</t>
  </si>
  <si>
    <t>TAK</t>
  </si>
  <si>
    <t>Waga powierzchni c. Bl.0,8</t>
  </si>
  <si>
    <t>W</t>
  </si>
  <si>
    <t xml:space="preserve"> blacha 0,6</t>
  </si>
  <si>
    <t>blacha0,6</t>
  </si>
  <si>
    <t>mb/m2</t>
  </si>
  <si>
    <t>Kątownik</t>
  </si>
  <si>
    <t xml:space="preserve">koszt pracy (sama rura) </t>
  </si>
  <si>
    <t xml:space="preserve">koszt pracy (rura do podstawy) </t>
  </si>
  <si>
    <t>(1146szt) na 1kg</t>
  </si>
  <si>
    <t>NITZRYWALNY3/6</t>
  </si>
  <si>
    <t>aktualizacja cen (21.09.2026)</t>
  </si>
  <si>
    <t xml:space="preserve">BLACHAPERFOR2 QG 10-12 </t>
  </si>
  <si>
    <t>BLACHA0,7X2500X1250NIERDZ</t>
  </si>
  <si>
    <t>Blacha 0,7 nierdzewna</t>
  </si>
  <si>
    <t>Blacha 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</si>
</sst>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_-;\-* #,##0.00_-;_-* &quot;-&quot;??_-;_-@_-"/>
    <numFmt numFmtId="165" formatCode="_(* #,##0.00_);_(* \(#,##0.00\);_(* &quot;-&quot;??_);_(@_)"/>
    <numFmt numFmtId="166" formatCode="#,##0.00\ &quot;$&quot;"/>
    <numFmt numFmtId="167" formatCode="0.0000"/>
    <numFmt numFmtId="168" formatCode="0.0"/>
    <numFmt numFmtId="169" formatCode="0.0%"/>
    <numFmt numFmtId="170" formatCode="0.000"/>
    <numFmt numFmtId="171" formatCode="#,##0.00\ &quot;zł&quot;"/>
    <numFmt numFmtId="172" formatCode="#,##0.00_ ;\-#,##0.00\ "/>
    <numFmt numFmtId="173" formatCode="_-* #,##0\ _z_ł_-;\-* #,##0\ _z_ł_-;_-* &quot;-&quot;??\ _z_ł_-;_-@_-"/>
    <numFmt numFmtId="174" formatCode="0.00000"/>
    <numFmt numFmtId="175" formatCode="#,##0.0\ &quot;zł&quot;"/>
    <numFmt numFmtId="176" formatCode="#,##0.00\ &quot;zł&quot;;[Red]#,##0.00\ &quot;zł&quot;"/>
    <numFmt numFmtId="177" formatCode="#,##0.0"/>
    <numFmt numFmtId="178" formatCode="#,##0.00\ _z_ł"/>
  </numFmts>
  <fonts count="3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1"/>
      <color theme="1"/>
      <name val="Czcionka tekstu podstawowego"/>
      <charset val="238"/>
    </font>
    <font>
      <sz val="11"/>
      <color rgb="FF9C0006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7"/>
      <color theme="10"/>
      <name val="Calibri"/>
      <family val="2"/>
      <charset val="238"/>
      <scheme val="minor"/>
    </font>
    <font>
      <sz val="12"/>
      <color rgb="FF0070C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sz val="8"/>
      <color rgb="FF0070C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0"/>
      <color theme="1"/>
      <name val="Arial Unicode MS"/>
      <family val="2"/>
      <charset val="238"/>
    </font>
    <font>
      <i/>
      <sz val="8"/>
      <color theme="1"/>
      <name val="Calibri"/>
      <family val="2"/>
      <charset val="238"/>
      <scheme val="minor"/>
    </font>
    <font>
      <u/>
      <sz val="10"/>
      <color theme="1"/>
      <name val="Calibri"/>
      <family val="2"/>
      <charset val="238"/>
      <scheme val="minor"/>
    </font>
    <font>
      <u/>
      <sz val="8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11"/>
      <color rgb="FFFF0000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b/>
      <sz val="11"/>
      <color theme="4"/>
      <name val="Arial"/>
      <family val="2"/>
      <charset val="2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charset val="238"/>
      <scheme val="minor"/>
    </font>
    <font>
      <b/>
      <sz val="18"/>
      <color theme="4" tint="-0.249977111117893"/>
      <name val="Calibri"/>
      <family val="2"/>
      <charset val="238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0" fontId="10" fillId="18" borderId="0" applyNumberFormat="0" applyBorder="0" applyAlignment="0" applyProtection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Font="1"/>
    <xf numFmtId="165" fontId="3" fillId="0" borderId="0" xfId="1" applyFont="1" applyAlignment="1">
      <alignment horizontal="left" vertical="center"/>
    </xf>
    <xf numFmtId="166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65" fontId="0" fillId="0" borderId="0" xfId="1" applyFon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165" fontId="0" fillId="0" borderId="0" xfId="1" applyFont="1" applyAlignment="1">
      <alignment horizontal="left" vertical="center"/>
    </xf>
    <xf numFmtId="165" fontId="3" fillId="0" borderId="0" xfId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165" fontId="3" fillId="0" borderId="0" xfId="1" applyFont="1" applyFill="1" applyAlignment="1">
      <alignment horizontal="center" vertical="center"/>
    </xf>
    <xf numFmtId="165" fontId="3" fillId="0" borderId="0" xfId="1" applyFont="1" applyAlignment="1">
      <alignment horizontal="left" vertical="top"/>
    </xf>
    <xf numFmtId="0" fontId="1" fillId="3" borderId="0" xfId="2" applyFill="1" applyBorder="1" applyProtection="1"/>
    <xf numFmtId="0" fontId="1" fillId="0" borderId="0" xfId="2" applyFill="1"/>
    <xf numFmtId="0" fontId="1" fillId="0" borderId="0" xfId="0" applyFont="1"/>
    <xf numFmtId="0" fontId="1" fillId="3" borderId="0" xfId="2" applyFill="1" applyBorder="1"/>
    <xf numFmtId="0" fontId="1" fillId="0" borderId="0" xfId="2" applyFill="1" applyBorder="1"/>
    <xf numFmtId="1" fontId="1" fillId="3" borderId="2" xfId="2" applyNumberFormat="1" applyFill="1" applyBorder="1" applyAlignment="1" applyProtection="1">
      <alignment horizontal="center" vertical="center"/>
      <protection locked="0"/>
    </xf>
    <xf numFmtId="0" fontId="3" fillId="3" borderId="0" xfId="2" applyFont="1" applyFill="1" applyBorder="1" applyAlignment="1" applyProtection="1">
      <alignment horizontal="right"/>
    </xf>
    <xf numFmtId="0" fontId="1" fillId="3" borderId="3" xfId="2" applyFill="1" applyBorder="1" applyAlignment="1" applyProtection="1">
      <alignment horizontal="center" vertical="center"/>
      <protection locked="0"/>
    </xf>
    <xf numFmtId="0" fontId="1" fillId="3" borderId="6" xfId="2" applyFill="1" applyBorder="1" applyProtection="1"/>
    <xf numFmtId="0" fontId="1" fillId="3" borderId="7" xfId="2" applyFill="1" applyBorder="1" applyProtection="1"/>
    <xf numFmtId="0" fontId="1" fillId="3" borderId="8" xfId="2" applyFill="1" applyBorder="1" applyProtection="1"/>
    <xf numFmtId="0" fontId="3" fillId="3" borderId="0" xfId="2" applyFont="1" applyFill="1" applyBorder="1" applyProtection="1"/>
    <xf numFmtId="0" fontId="1" fillId="3" borderId="9" xfId="2" applyFill="1" applyBorder="1" applyProtection="1"/>
    <xf numFmtId="0" fontId="3" fillId="3" borderId="11" xfId="2" applyFont="1" applyFill="1" applyBorder="1" applyAlignment="1" applyProtection="1">
      <alignment horizontal="right"/>
    </xf>
    <xf numFmtId="0" fontId="1" fillId="3" borderId="11" xfId="2" applyFill="1" applyBorder="1" applyProtection="1"/>
    <xf numFmtId="0" fontId="3" fillId="3" borderId="11" xfId="2" applyFont="1" applyFill="1" applyBorder="1" applyProtection="1"/>
    <xf numFmtId="0" fontId="1" fillId="0" borderId="11" xfId="2" applyFill="1" applyBorder="1"/>
    <xf numFmtId="0" fontId="1" fillId="3" borderId="4" xfId="2" applyFill="1" applyBorder="1" applyAlignment="1" applyProtection="1">
      <alignment horizontal="center" vertical="center"/>
    </xf>
    <xf numFmtId="0" fontId="1" fillId="3" borderId="5" xfId="2" applyFill="1" applyBorder="1" applyAlignment="1" applyProtection="1">
      <alignment horizontal="center" vertical="center"/>
    </xf>
    <xf numFmtId="0" fontId="3" fillId="3" borderId="5" xfId="2" applyFont="1" applyFill="1" applyBorder="1" applyAlignment="1" applyProtection="1">
      <alignment horizontal="center" vertical="center"/>
    </xf>
    <xf numFmtId="0" fontId="3" fillId="3" borderId="10" xfId="2" applyFont="1" applyFill="1" applyBorder="1" applyAlignment="1" applyProtection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12" xfId="2" applyFill="1" applyBorder="1" applyAlignment="1" applyProtection="1">
      <alignment horizontal="center" vertical="center"/>
      <protection locked="0"/>
    </xf>
    <xf numFmtId="0" fontId="1" fillId="0" borderId="0" xfId="2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/>
    </xf>
    <xf numFmtId="0" fontId="0" fillId="0" borderId="12" xfId="2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3" borderId="8" xfId="2" applyFill="1" applyBorder="1"/>
    <xf numFmtId="0" fontId="1" fillId="0" borderId="9" xfId="2" applyFill="1" applyBorder="1"/>
    <xf numFmtId="0" fontId="1" fillId="0" borderId="16" xfId="2" applyFill="1" applyBorder="1"/>
    <xf numFmtId="0" fontId="0" fillId="0" borderId="10" xfId="0" applyBorder="1"/>
    <xf numFmtId="0" fontId="1" fillId="3" borderId="1" xfId="2" applyFill="1" applyBorder="1" applyAlignment="1" applyProtection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1" applyFont="1" applyAlignment="1">
      <alignment horizontal="left" vertical="top"/>
    </xf>
    <xf numFmtId="49" fontId="3" fillId="0" borderId="0" xfId="1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3" fillId="3" borderId="0" xfId="2" applyFont="1" applyFill="1" applyBorder="1" applyAlignment="1" applyProtection="1">
      <alignment horizontal="center" vertical="center"/>
    </xf>
    <xf numFmtId="165" fontId="3" fillId="0" borderId="0" xfId="1" applyFont="1" applyAlignment="1">
      <alignment horizontal="right"/>
    </xf>
    <xf numFmtId="0" fontId="1" fillId="4" borderId="1" xfId="2" applyFill="1" applyBorder="1" applyAlignment="1">
      <alignment horizontal="center" vertical="center"/>
    </xf>
    <xf numFmtId="0" fontId="1" fillId="4" borderId="13" xfId="2" applyFill="1" applyBorder="1" applyAlignment="1">
      <alignment horizontal="center" vertical="center"/>
    </xf>
    <xf numFmtId="0" fontId="1" fillId="0" borderId="6" xfId="2" applyFill="1" applyBorder="1"/>
    <xf numFmtId="0" fontId="1" fillId="0" borderId="7" xfId="2" applyFill="1" applyBorder="1"/>
    <xf numFmtId="0" fontId="1" fillId="0" borderId="14" xfId="2" applyFill="1" applyBorder="1"/>
    <xf numFmtId="0" fontId="1" fillId="0" borderId="8" xfId="2" applyFill="1" applyBorder="1"/>
    <xf numFmtId="0" fontId="1" fillId="0" borderId="15" xfId="2" applyFill="1" applyBorder="1"/>
    <xf numFmtId="0" fontId="1" fillId="0" borderId="4" xfId="2" applyFill="1" applyBorder="1" applyAlignment="1">
      <alignment horizontal="center" vertical="center"/>
    </xf>
    <xf numFmtId="0" fontId="1" fillId="0" borderId="5" xfId="2" applyFill="1" applyBorder="1" applyAlignment="1">
      <alignment horizontal="center" vertical="center"/>
    </xf>
    <xf numFmtId="0" fontId="1" fillId="0" borderId="10" xfId="2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0" xfId="2" applyFont="1" applyFill="1" applyBorder="1"/>
    <xf numFmtId="167" fontId="0" fillId="0" borderId="0" xfId="0" applyNumberFormat="1"/>
    <xf numFmtId="0" fontId="1" fillId="0" borderId="1" xfId="2" applyFill="1" applyBorder="1" applyAlignment="1">
      <alignment horizontal="center" vertical="center"/>
    </xf>
    <xf numFmtId="0" fontId="1" fillId="0" borderId="12" xfId="2" applyFill="1" applyBorder="1" applyAlignment="1">
      <alignment horizontal="center" vertical="center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6" borderId="0" xfId="0" applyNumberFormat="1" applyFill="1"/>
    <xf numFmtId="0" fontId="1" fillId="0" borderId="4" xfId="2" applyFill="1" applyBorder="1"/>
    <xf numFmtId="0" fontId="1" fillId="0" borderId="5" xfId="2" applyFill="1" applyBorder="1"/>
    <xf numFmtId="0" fontId="1" fillId="0" borderId="10" xfId="2" applyFill="1" applyBorder="1"/>
    <xf numFmtId="1" fontId="0" fillId="3" borderId="3" xfId="2" applyNumberFormat="1" applyFont="1" applyFill="1" applyBorder="1" applyAlignment="1" applyProtection="1">
      <alignment horizontal="center" vertical="center"/>
      <protection locked="0"/>
    </xf>
    <xf numFmtId="0" fontId="1" fillId="0" borderId="8" xfId="2" applyFill="1" applyBorder="1" applyAlignment="1">
      <alignment horizontal="center" vertical="center"/>
    </xf>
    <xf numFmtId="0" fontId="9" fillId="0" borderId="0" xfId="0" applyFont="1"/>
    <xf numFmtId="170" fontId="0" fillId="0" borderId="0" xfId="0" applyNumberFormat="1"/>
    <xf numFmtId="167" fontId="9" fillId="0" borderId="0" xfId="0" applyNumberFormat="1" applyFont="1"/>
    <xf numFmtId="2" fontId="0" fillId="0" borderId="0" xfId="0" applyNumberFormat="1"/>
    <xf numFmtId="0" fontId="3" fillId="0" borderId="0" xfId="2" applyFont="1" applyFill="1" applyBorder="1" applyAlignment="1">
      <alignment horizontal="center"/>
    </xf>
    <xf numFmtId="0" fontId="3" fillId="3" borderId="0" xfId="2" applyFont="1" applyFill="1" applyBorder="1" applyAlignment="1" applyProtection="1">
      <alignment horizontal="center"/>
    </xf>
    <xf numFmtId="0" fontId="1" fillId="0" borderId="1" xfId="2" applyFill="1" applyBorder="1" applyAlignment="1">
      <alignment horizontal="center"/>
    </xf>
    <xf numFmtId="1" fontId="0" fillId="0" borderId="0" xfId="0" applyNumberFormat="1"/>
    <xf numFmtId="0" fontId="1" fillId="0" borderId="0" xfId="2" applyFill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 vertical="center"/>
    </xf>
    <xf numFmtId="0" fontId="3" fillId="0" borderId="5" xfId="2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165" fontId="0" fillId="0" borderId="0" xfId="0" applyNumberFormat="1"/>
    <xf numFmtId="0" fontId="3" fillId="0" borderId="0" xfId="2" applyFont="1" applyFill="1" applyAlignment="1">
      <alignment horizontal="center"/>
    </xf>
    <xf numFmtId="0" fontId="1" fillId="0" borderId="12" xfId="2" applyFill="1" applyBorder="1" applyAlignment="1">
      <alignment horizontal="center"/>
    </xf>
    <xf numFmtId="167" fontId="0" fillId="0" borderId="0" xfId="0" applyNumberFormat="1" applyAlignment="1">
      <alignment horizontal="center"/>
    </xf>
    <xf numFmtId="49" fontId="3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49" fontId="0" fillId="0" borderId="0" xfId="1" applyNumberFormat="1" applyFont="1" applyAlignment="1">
      <alignment horizontal="left" vertical="top"/>
    </xf>
    <xf numFmtId="0" fontId="3" fillId="0" borderId="0" xfId="1" applyNumberFormat="1" applyFont="1" applyAlignment="1">
      <alignment horizontal="left" vertical="top"/>
    </xf>
    <xf numFmtId="0" fontId="0" fillId="0" borderId="0" xfId="1" applyNumberFormat="1" applyFont="1" applyAlignment="1">
      <alignment horizontal="left" vertical="top"/>
    </xf>
    <xf numFmtId="2" fontId="9" fillId="0" borderId="0" xfId="0" applyNumberFormat="1" applyFont="1"/>
    <xf numFmtId="0" fontId="0" fillId="0" borderId="0" xfId="1" applyNumberFormat="1" applyFont="1" applyAlignment="1">
      <alignment horizontal="left" vertical="center"/>
    </xf>
    <xf numFmtId="0" fontId="0" fillId="0" borderId="0" xfId="1" applyNumberFormat="1" applyFont="1" applyAlignment="1">
      <alignment horizontal="center" vertical="center"/>
    </xf>
    <xf numFmtId="0" fontId="3" fillId="0" borderId="0" xfId="1" applyNumberFormat="1" applyFont="1" applyAlignment="1">
      <alignment horizontal="left" vertical="center"/>
    </xf>
    <xf numFmtId="165" fontId="3" fillId="0" borderId="0" xfId="1" applyFont="1"/>
    <xf numFmtId="9" fontId="0" fillId="0" borderId="0" xfId="3" applyFont="1"/>
    <xf numFmtId="0" fontId="0" fillId="14" borderId="0" xfId="0" applyFill="1" applyAlignment="1">
      <alignment horizontal="center" vertical="center"/>
    </xf>
    <xf numFmtId="9" fontId="0" fillId="14" borderId="0" xfId="3" applyFont="1" applyFill="1"/>
    <xf numFmtId="0" fontId="0" fillId="0" borderId="0" xfId="1" applyNumberFormat="1" applyFont="1" applyAlignment="1">
      <alignment horizontal="right" vertical="center"/>
    </xf>
    <xf numFmtId="165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3" applyFont="1" applyAlignment="1">
      <alignment horizontal="center" vertical="top"/>
    </xf>
    <xf numFmtId="165" fontId="3" fillId="0" borderId="0" xfId="1" applyFont="1" applyAlignment="1">
      <alignment horizontal="right" vertical="center"/>
    </xf>
    <xf numFmtId="9" fontId="0" fillId="0" borderId="0" xfId="3" applyFont="1" applyAlignment="1">
      <alignment horizontal="center" vertical="center"/>
    </xf>
    <xf numFmtId="0" fontId="3" fillId="0" borderId="0" xfId="0" applyFont="1" applyAlignment="1">
      <alignment horizontal="right"/>
    </xf>
    <xf numFmtId="9" fontId="0" fillId="0" borderId="0" xfId="3" applyFont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169" fontId="5" fillId="12" borderId="0" xfId="3" applyNumberFormat="1" applyFont="1" applyFill="1" applyBorder="1" applyAlignment="1">
      <alignment horizontal="center"/>
    </xf>
    <xf numFmtId="169" fontId="4" fillId="8" borderId="0" xfId="3" applyNumberFormat="1" applyFont="1" applyFill="1" applyBorder="1" applyAlignment="1">
      <alignment horizontal="center"/>
    </xf>
    <xf numFmtId="169" fontId="0" fillId="9" borderId="0" xfId="3" applyNumberFormat="1" applyFont="1" applyFill="1" applyBorder="1" applyAlignment="1">
      <alignment horizontal="center"/>
    </xf>
    <xf numFmtId="169" fontId="0" fillId="10" borderId="0" xfId="3" applyNumberFormat="1" applyFont="1" applyFill="1" applyBorder="1" applyAlignment="1">
      <alignment horizontal="center"/>
    </xf>
    <xf numFmtId="169" fontId="0" fillId="11" borderId="0" xfId="3" applyNumberFormat="1" applyFont="1" applyFill="1" applyBorder="1" applyAlignment="1">
      <alignment horizontal="center"/>
    </xf>
    <xf numFmtId="169" fontId="0" fillId="7" borderId="15" xfId="3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0" xfId="0" applyNumberFormat="1"/>
    <xf numFmtId="2" fontId="0" fillId="0" borderId="0" xfId="1" applyNumberFormat="1" applyFont="1"/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2" applyFont="1" applyFill="1" applyBorder="1"/>
    <xf numFmtId="0" fontId="0" fillId="0" borderId="0" xfId="0" applyAlignment="1">
      <alignment vertical="center" wrapText="1"/>
    </xf>
    <xf numFmtId="0" fontId="1" fillId="0" borderId="0" xfId="2" applyFill="1" applyBorder="1" applyAlignment="1">
      <alignment horizontal="right"/>
    </xf>
    <xf numFmtId="0" fontId="0" fillId="0" borderId="1" xfId="2" applyFont="1" applyFill="1" applyBorder="1" applyAlignment="1">
      <alignment horizontal="center"/>
    </xf>
    <xf numFmtId="9" fontId="3" fillId="0" borderId="0" xfId="3" applyFont="1" applyAlignment="1">
      <alignment horizontal="center" vertical="top"/>
    </xf>
    <xf numFmtId="2" fontId="1" fillId="0" borderId="0" xfId="2" applyNumberFormat="1" applyFill="1"/>
    <xf numFmtId="2" fontId="1" fillId="3" borderId="7" xfId="2" applyNumberFormat="1" applyFill="1" applyBorder="1" applyProtection="1"/>
    <xf numFmtId="2" fontId="1" fillId="3" borderId="0" xfId="2" applyNumberFormat="1" applyFill="1" applyBorder="1" applyProtection="1"/>
    <xf numFmtId="2" fontId="3" fillId="3" borderId="0" xfId="2" applyNumberFormat="1" applyFont="1" applyFill="1" applyBorder="1" applyProtection="1"/>
    <xf numFmtId="2" fontId="1" fillId="0" borderId="11" xfId="2" applyNumberFormat="1" applyFill="1" applyBorder="1"/>
    <xf numFmtId="2" fontId="1" fillId="0" borderId="7" xfId="2" applyNumberFormat="1" applyFill="1" applyBorder="1"/>
    <xf numFmtId="2" fontId="1" fillId="0" borderId="0" xfId="2" applyNumberFormat="1" applyFill="1" applyBorder="1"/>
    <xf numFmtId="2" fontId="0" fillId="0" borderId="0" xfId="2" applyNumberFormat="1" applyFont="1" applyFill="1" applyBorder="1"/>
    <xf numFmtId="2" fontId="1" fillId="0" borderId="0" xfId="2" applyNumberFormat="1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2" fontId="3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left" vertical="top"/>
    </xf>
    <xf numFmtId="2" fontId="0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left" vertical="center"/>
    </xf>
    <xf numFmtId="2" fontId="0" fillId="0" borderId="0" xfId="1" applyNumberFormat="1" applyFont="1" applyAlignment="1">
      <alignment horizontal="left" vertical="center"/>
    </xf>
    <xf numFmtId="2" fontId="7" fillId="15" borderId="0" xfId="3" applyNumberFormat="1" applyFont="1" applyFill="1" applyBorder="1"/>
    <xf numFmtId="2" fontId="7" fillId="14" borderId="0" xfId="3" applyNumberFormat="1" applyFont="1" applyFill="1" applyBorder="1"/>
    <xf numFmtId="2" fontId="7" fillId="6" borderId="0" xfId="3" applyNumberFormat="1" applyFont="1" applyFill="1" applyBorder="1"/>
    <xf numFmtId="2" fontId="3" fillId="0" borderId="0" xfId="1" applyNumberFormat="1" applyFont="1" applyAlignment="1">
      <alignment horizontal="right"/>
    </xf>
    <xf numFmtId="2" fontId="0" fillId="0" borderId="0" xfId="1" applyNumberFormat="1" applyFont="1" applyAlignment="1" applyProtection="1">
      <alignment horizontal="center" vertical="center"/>
    </xf>
    <xf numFmtId="2" fontId="7" fillId="16" borderId="0" xfId="3" applyNumberFormat="1" applyFont="1" applyFill="1" applyBorder="1"/>
    <xf numFmtId="2" fontId="7" fillId="17" borderId="0" xfId="3" applyNumberFormat="1" applyFont="1" applyFill="1" applyBorder="1"/>
    <xf numFmtId="2" fontId="3" fillId="0" borderId="0" xfId="0" applyNumberFormat="1" applyFont="1"/>
    <xf numFmtId="2" fontId="2" fillId="0" borderId="0" xfId="0" applyNumberFormat="1" applyFont="1" applyAlignment="1">
      <alignment horizontal="left" vertical="top"/>
    </xf>
    <xf numFmtId="2" fontId="3" fillId="5" borderId="0" xfId="0" applyNumberFormat="1" applyFont="1" applyFill="1" applyAlignment="1">
      <alignment horizontal="left" vertical="center"/>
    </xf>
    <xf numFmtId="2" fontId="3" fillId="5" borderId="0" xfId="0" applyNumberFormat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2" fontId="0" fillId="5" borderId="0" xfId="1" applyNumberFormat="1" applyFont="1" applyFill="1" applyAlignment="1">
      <alignment horizontal="left" vertical="center"/>
    </xf>
    <xf numFmtId="2" fontId="0" fillId="5" borderId="0" xfId="0" applyNumberFormat="1" applyFill="1" applyAlignment="1">
      <alignment horizontal="center" vertical="center"/>
    </xf>
    <xf numFmtId="2" fontId="0" fillId="0" borderId="0" xfId="1" applyNumberFormat="1" applyFont="1" applyAlignment="1">
      <alignment horizontal="right" vertical="center"/>
    </xf>
    <xf numFmtId="2" fontId="3" fillId="0" borderId="0" xfId="1" applyNumberFormat="1" applyFont="1" applyAlignment="1">
      <alignment horizontal="left" vertical="top"/>
    </xf>
    <xf numFmtId="2" fontId="0" fillId="0" borderId="0" xfId="1" applyNumberFormat="1" applyFont="1" applyAlignment="1">
      <alignment vertical="center"/>
    </xf>
    <xf numFmtId="2" fontId="3" fillId="0" borderId="0" xfId="1" applyNumberFormat="1" applyFont="1" applyAlignment="1">
      <alignment horizontal="right" vertical="center"/>
    </xf>
    <xf numFmtId="2" fontId="3" fillId="0" borderId="0" xfId="0" applyNumberFormat="1" applyFont="1" applyAlignment="1">
      <alignment horizontal="center"/>
    </xf>
    <xf numFmtId="2" fontId="0" fillId="0" borderId="0" xfId="3" applyNumberFormat="1" applyFont="1" applyAlignment="1">
      <alignment horizontal="center" vertical="center"/>
    </xf>
    <xf numFmtId="0" fontId="1" fillId="3" borderId="7" xfId="2" applyNumberFormat="1" applyFill="1" applyBorder="1" applyProtection="1"/>
    <xf numFmtId="0" fontId="3" fillId="3" borderId="0" xfId="2" applyNumberFormat="1" applyFont="1" applyFill="1" applyBorder="1" applyProtection="1"/>
    <xf numFmtId="0" fontId="1" fillId="3" borderId="0" xfId="2" applyNumberFormat="1" applyFill="1" applyBorder="1" applyProtection="1"/>
    <xf numFmtId="0" fontId="3" fillId="3" borderId="0" xfId="2" applyNumberFormat="1" applyFont="1" applyFill="1" applyBorder="1" applyAlignment="1" applyProtection="1">
      <alignment horizontal="right"/>
    </xf>
    <xf numFmtId="0" fontId="3" fillId="3" borderId="11" xfId="2" applyNumberFormat="1" applyFont="1" applyFill="1" applyBorder="1" applyAlignment="1" applyProtection="1">
      <alignment horizontal="right"/>
    </xf>
    <xf numFmtId="0" fontId="1" fillId="3" borderId="11" xfId="2" applyNumberFormat="1" applyFill="1" applyBorder="1" applyProtection="1"/>
    <xf numFmtId="0" fontId="1" fillId="3" borderId="2" xfId="2" applyNumberFormat="1" applyFill="1" applyBorder="1" applyAlignment="1" applyProtection="1">
      <alignment horizontal="center" vertical="center"/>
      <protection locked="0"/>
    </xf>
    <xf numFmtId="0" fontId="1" fillId="3" borderId="3" xfId="2" applyNumberFormat="1" applyFill="1" applyBorder="1" applyAlignment="1" applyProtection="1">
      <alignment horizontal="center" vertical="center"/>
      <protection locked="0"/>
    </xf>
    <xf numFmtId="0" fontId="1" fillId="3" borderId="1" xfId="2" applyNumberForma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/>
    <xf numFmtId="171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 vertical="center"/>
    </xf>
    <xf numFmtId="171" fontId="0" fillId="0" borderId="0" xfId="1" applyNumberFormat="1" applyFont="1"/>
    <xf numFmtId="171" fontId="3" fillId="0" borderId="0" xfId="0" applyNumberFormat="1" applyFont="1" applyAlignment="1">
      <alignment horizontal="center" vertical="center"/>
    </xf>
    <xf numFmtId="0" fontId="0" fillId="0" borderId="0" xfId="1" applyNumberFormat="1" applyFont="1" applyFill="1" applyAlignment="1">
      <alignment horizontal="right" vertical="center"/>
    </xf>
    <xf numFmtId="0" fontId="0" fillId="0" borderId="0" xfId="1" applyNumberFormat="1" applyFont="1" applyFill="1" applyAlignment="1">
      <alignment horizontal="right"/>
    </xf>
    <xf numFmtId="0" fontId="0" fillId="0" borderId="0" xfId="1" applyNumberFormat="1" applyFont="1" applyAlignment="1">
      <alignment horizontal="right"/>
    </xf>
    <xf numFmtId="165" fontId="0" fillId="0" borderId="0" xfId="1" applyFont="1" applyAlignment="1">
      <alignment wrapText="1"/>
    </xf>
    <xf numFmtId="0" fontId="0" fillId="0" borderId="0" xfId="0" applyAlignment="1">
      <alignment horizontal="center" vertical="center" wrapText="1"/>
    </xf>
    <xf numFmtId="165" fontId="0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72" fontId="0" fillId="0" borderId="0" xfId="1" applyNumberFormat="1" applyFont="1" applyAlignment="1">
      <alignment horizontal="center"/>
    </xf>
    <xf numFmtId="165" fontId="0" fillId="0" borderId="19" xfId="1" applyFont="1" applyBorder="1" applyAlignment="1">
      <alignment horizontal="center" vertical="center" wrapText="1"/>
    </xf>
    <xf numFmtId="172" fontId="0" fillId="0" borderId="0" xfId="1" applyNumberFormat="1" applyFont="1" applyFill="1" applyAlignment="1">
      <alignment horizontal="center" wrapText="1"/>
    </xf>
    <xf numFmtId="172" fontId="0" fillId="0" borderId="0" xfId="1" applyNumberFormat="1" applyFont="1" applyFill="1" applyAlignment="1">
      <alignment horizontal="center"/>
    </xf>
    <xf numFmtId="165" fontId="0" fillId="0" borderId="19" xfId="1" applyFont="1" applyFill="1" applyBorder="1" applyAlignment="1">
      <alignment horizontal="center" vertical="center" wrapText="1"/>
    </xf>
    <xf numFmtId="4" fontId="0" fillId="0" borderId="19" xfId="0" applyNumberFormat="1" applyBorder="1" applyAlignment="1">
      <alignment horizontal="center" vertical="center"/>
    </xf>
    <xf numFmtId="165" fontId="0" fillId="0" borderId="0" xfId="1" applyFont="1" applyFill="1" applyAlignment="1">
      <alignment horizontal="center" vertical="center" wrapText="1"/>
    </xf>
    <xf numFmtId="9" fontId="0" fillId="0" borderId="0" xfId="0" applyNumberFormat="1"/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5" fontId="3" fillId="0" borderId="19" xfId="1" applyFont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165" fontId="0" fillId="4" borderId="19" xfId="1" applyFon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170" fontId="0" fillId="4" borderId="19" xfId="0" applyNumberFormat="1" applyFill="1" applyBorder="1" applyAlignment="1">
      <alignment horizontal="center" vertical="center"/>
    </xf>
    <xf numFmtId="2" fontId="3" fillId="4" borderId="19" xfId="0" applyNumberFormat="1" applyFont="1" applyFill="1" applyBorder="1" applyAlignment="1">
      <alignment horizontal="center" vertical="center"/>
    </xf>
    <xf numFmtId="165" fontId="3" fillId="4" borderId="19" xfId="0" applyNumberFormat="1" applyFont="1" applyFill="1" applyBorder="1" applyAlignment="1">
      <alignment horizontal="center" vertical="center"/>
    </xf>
    <xf numFmtId="165" fontId="0" fillId="4" borderId="19" xfId="0" applyNumberFormat="1" applyFill="1" applyBorder="1" applyAlignment="1">
      <alignment horizontal="center" vertical="center"/>
    </xf>
    <xf numFmtId="165" fontId="0" fillId="4" borderId="19" xfId="1" applyFont="1" applyFill="1" applyBorder="1" applyAlignment="1">
      <alignment horizontal="center" vertical="center" wrapText="1"/>
    </xf>
    <xf numFmtId="173" fontId="0" fillId="6" borderId="19" xfId="1" applyNumberFormat="1" applyFont="1" applyFill="1" applyBorder="1" applyAlignment="1">
      <alignment horizontal="center" vertical="center" wrapText="1"/>
    </xf>
    <xf numFmtId="165" fontId="0" fillId="4" borderId="19" xfId="0" applyNumberFormat="1" applyFill="1" applyBorder="1" applyAlignment="1">
      <alignment horizontal="center" vertical="center" wrapText="1"/>
    </xf>
    <xf numFmtId="9" fontId="0" fillId="4" borderId="19" xfId="3" applyFont="1" applyFill="1" applyBorder="1" applyAlignment="1">
      <alignment horizontal="center" vertical="center" wrapText="1"/>
    </xf>
    <xf numFmtId="165" fontId="3" fillId="4" borderId="19" xfId="1" applyFont="1" applyFill="1" applyBorder="1" applyAlignment="1">
      <alignment horizontal="center" vertical="center" wrapText="1"/>
    </xf>
    <xf numFmtId="165" fontId="0" fillId="14" borderId="19" xfId="1" applyFont="1" applyFill="1" applyBorder="1" applyAlignment="1">
      <alignment vertical="center" wrapText="1"/>
    </xf>
    <xf numFmtId="165" fontId="0" fillId="0" borderId="0" xfId="0" applyNumberFormat="1" applyAlignment="1">
      <alignment wrapText="1"/>
    </xf>
    <xf numFmtId="0" fontId="0" fillId="0" borderId="7" xfId="2" applyFont="1" applyFill="1" applyBorder="1"/>
    <xf numFmtId="10" fontId="0" fillId="0" borderId="0" xfId="0" applyNumberFormat="1" applyAlignment="1">
      <alignment horizontal="center" vertical="center"/>
    </xf>
    <xf numFmtId="2" fontId="3" fillId="0" borderId="0" xfId="2" applyNumberFormat="1" applyFont="1" applyFill="1" applyBorder="1"/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171" fontId="2" fillId="0" borderId="0" xfId="0" applyNumberFormat="1" applyFont="1"/>
    <xf numFmtId="171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 vertical="center"/>
    </xf>
    <xf numFmtId="2" fontId="3" fillId="0" borderId="0" xfId="2" applyNumberFormat="1" applyFont="1" applyFill="1" applyBorder="1" applyAlignment="1">
      <alignment horizontal="left" vertical="center"/>
    </xf>
    <xf numFmtId="165" fontId="2" fillId="0" borderId="0" xfId="1" applyFont="1" applyAlignment="1">
      <alignment horizontal="left" vertical="top"/>
    </xf>
    <xf numFmtId="171" fontId="2" fillId="0" borderId="0" xfId="0" applyNumberFormat="1" applyFont="1" applyAlignment="1">
      <alignment horizontal="left" vertical="top"/>
    </xf>
    <xf numFmtId="171" fontId="1" fillId="4" borderId="1" xfId="2" applyNumberFormat="1" applyFill="1" applyBorder="1" applyAlignment="1" applyProtection="1">
      <alignment horizontal="center" vertical="center"/>
    </xf>
    <xf numFmtId="171" fontId="10" fillId="18" borderId="11" xfId="4" applyNumberFormat="1" applyBorder="1" applyAlignment="1" applyProtection="1">
      <alignment horizontal="center" vertical="center"/>
    </xf>
    <xf numFmtId="171" fontId="1" fillId="4" borderId="1" xfId="1" applyNumberFormat="1" applyFont="1" applyFill="1" applyBorder="1" applyAlignment="1" applyProtection="1">
      <alignment horizontal="center" vertical="center"/>
    </xf>
    <xf numFmtId="171" fontId="0" fillId="4" borderId="1" xfId="1" applyNumberFormat="1" applyFont="1" applyFill="1" applyBorder="1" applyAlignment="1" applyProtection="1">
      <alignment horizontal="center" vertical="center"/>
    </xf>
    <xf numFmtId="171" fontId="10" fillId="18" borderId="0" xfId="4" applyNumberFormat="1" applyBorder="1" applyAlignment="1">
      <alignment horizontal="center" vertical="center"/>
    </xf>
    <xf numFmtId="4" fontId="0" fillId="0" borderId="0" xfId="0" applyNumberFormat="1"/>
    <xf numFmtId="171" fontId="0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71" fontId="10" fillId="18" borderId="0" xfId="4" applyNumberFormat="1" applyBorder="1" applyAlignment="1">
      <alignment horizontal="center"/>
    </xf>
    <xf numFmtId="171" fontId="10" fillId="18" borderId="11" xfId="4" applyNumberFormat="1" applyBorder="1" applyAlignment="1">
      <alignment horizontal="center"/>
    </xf>
    <xf numFmtId="2" fontId="3" fillId="0" borderId="7" xfId="2" applyNumberFormat="1" applyFont="1" applyFill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4" fontId="0" fillId="0" borderId="0" xfId="1" applyNumberFormat="1" applyFont="1" applyAlignment="1">
      <alignment horizontal="right" vertical="center"/>
    </xf>
    <xf numFmtId="171" fontId="0" fillId="0" borderId="0" xfId="1" applyNumberFormat="1" applyFont="1" applyAlignment="1">
      <alignment horizontal="right"/>
    </xf>
    <xf numFmtId="171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center" vertical="center"/>
    </xf>
    <xf numFmtId="2" fontId="0" fillId="20" borderId="0" xfId="0" applyNumberFormat="1" applyFill="1"/>
    <xf numFmtId="0" fontId="0" fillId="20" borderId="0" xfId="0" applyFill="1"/>
    <xf numFmtId="4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 vertical="center"/>
    </xf>
    <xf numFmtId="165" fontId="2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2" fontId="12" fillId="21" borderId="0" xfId="5" quotePrefix="1" applyNumberFormat="1" applyFont="1" applyFill="1" applyBorder="1" applyAlignment="1">
      <alignment horizontal="center" vertical="center"/>
    </xf>
    <xf numFmtId="165" fontId="0" fillId="0" borderId="0" xfId="1" applyFont="1" applyAlignment="1">
      <alignment horizontal="right" vertical="center"/>
    </xf>
    <xf numFmtId="0" fontId="1" fillId="3" borderId="1" xfId="2" applyFill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165" fontId="0" fillId="0" borderId="0" xfId="0" applyNumberFormat="1" applyAlignment="1">
      <alignment horizontal="left" vertical="top"/>
    </xf>
    <xf numFmtId="165" fontId="3" fillId="0" borderId="0" xfId="1" applyFont="1" applyFill="1" applyAlignment="1">
      <alignment horizontal="right" vertical="center"/>
    </xf>
    <xf numFmtId="165" fontId="0" fillId="5" borderId="0" xfId="1" applyFon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171" fontId="7" fillId="20" borderId="0" xfId="2" applyNumberFormat="1" applyFont="1" applyFill="1" applyBorder="1" applyAlignment="1">
      <alignment horizontal="center" vertical="center"/>
    </xf>
    <xf numFmtId="2" fontId="3" fillId="0" borderId="0" xfId="2" applyNumberFormat="1" applyFont="1" applyFill="1"/>
    <xf numFmtId="9" fontId="3" fillId="0" borderId="0" xfId="0" applyNumberFormat="1" applyFont="1" applyAlignment="1">
      <alignment horizontal="center" vertical="center"/>
    </xf>
    <xf numFmtId="2" fontId="13" fillId="3" borderId="0" xfId="2" applyNumberFormat="1" applyFont="1" applyFill="1" applyBorder="1"/>
    <xf numFmtId="0" fontId="3" fillId="3" borderId="5" xfId="2" applyFont="1" applyFill="1" applyBorder="1" applyAlignment="1">
      <alignment horizontal="center" vertical="center"/>
    </xf>
    <xf numFmtId="0" fontId="0" fillId="4" borderId="0" xfId="0" applyFill="1"/>
    <xf numFmtId="0" fontId="3" fillId="0" borderId="8" xfId="2" applyFont="1" applyFill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71" fontId="0" fillId="0" borderId="0" xfId="1" quotePrefix="1" applyNumberFormat="1" applyFont="1"/>
    <xf numFmtId="171" fontId="3" fillId="0" borderId="0" xfId="0" applyNumberFormat="1" applyFont="1" applyAlignment="1">
      <alignment horizontal="right" vertical="center"/>
    </xf>
    <xf numFmtId="171" fontId="3" fillId="0" borderId="0" xfId="1" applyNumberFormat="1" applyFont="1" applyAlignment="1">
      <alignment horizontal="center" vertical="center"/>
    </xf>
    <xf numFmtId="2" fontId="14" fillId="21" borderId="0" xfId="5" quotePrefix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1" fontId="0" fillId="4" borderId="0" xfId="0" applyNumberFormat="1" applyFill="1" applyAlignment="1">
      <alignment horizontal="center" vertical="center"/>
    </xf>
    <xf numFmtId="2" fontId="12" fillId="3" borderId="0" xfId="5" quotePrefix="1" applyNumberFormat="1" applyFont="1" applyFill="1" applyBorder="1" applyAlignment="1">
      <alignment horizontal="center" vertical="center"/>
    </xf>
    <xf numFmtId="171" fontId="0" fillId="4" borderId="0" xfId="0" applyNumberFormat="1" applyFill="1" applyAlignment="1">
      <alignment horizontal="right" vertical="center"/>
    </xf>
    <xf numFmtId="10" fontId="0" fillId="0" borderId="0" xfId="0" applyNumberFormat="1"/>
    <xf numFmtId="9" fontId="2" fillId="0" borderId="0" xfId="2" applyNumberFormat="1" applyFont="1" applyFill="1" applyBorder="1" applyAlignment="1">
      <alignment horizontal="center" vertical="center"/>
    </xf>
    <xf numFmtId="9" fontId="2" fillId="0" borderId="15" xfId="2" applyNumberFormat="1" applyFont="1" applyFill="1" applyBorder="1" applyAlignment="1">
      <alignment horizontal="center" vertical="center"/>
    </xf>
    <xf numFmtId="0" fontId="1" fillId="3" borderId="0" xfId="2" applyFill="1" applyBorder="1" applyAlignment="1" applyProtection="1">
      <alignment horizontal="center" vertical="center"/>
    </xf>
    <xf numFmtId="0" fontId="1" fillId="3" borderId="0" xfId="2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1" fillId="0" borderId="15" xfId="2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171" fontId="7" fillId="0" borderId="0" xfId="0" applyNumberFormat="1" applyFont="1" applyAlignment="1">
      <alignment horizontal="center"/>
    </xf>
    <xf numFmtId="2" fontId="0" fillId="5" borderId="0" xfId="0" applyNumberFormat="1" applyFill="1"/>
    <xf numFmtId="0" fontId="13" fillId="0" borderId="0" xfId="2" applyFont="1" applyFill="1" applyAlignment="1">
      <alignment horizontal="center"/>
    </xf>
    <xf numFmtId="0" fontId="1" fillId="21" borderId="0" xfId="2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" fontId="1" fillId="21" borderId="0" xfId="2" applyNumberFormat="1" applyFill="1" applyBorder="1" applyAlignment="1">
      <alignment horizontal="center" vertical="center"/>
    </xf>
    <xf numFmtId="0" fontId="0" fillId="5" borderId="0" xfId="0" applyFill="1"/>
    <xf numFmtId="1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0" fontId="3" fillId="0" borderId="0" xfId="2" applyFont="1" applyFill="1"/>
    <xf numFmtId="0" fontId="1" fillId="21" borderId="0" xfId="2" applyFill="1" applyAlignment="1">
      <alignment horizontal="center" vertical="center"/>
    </xf>
    <xf numFmtId="174" fontId="0" fillId="0" borderId="0" xfId="1" applyNumberFormat="1" applyFont="1"/>
    <xf numFmtId="174" fontId="0" fillId="0" borderId="0" xfId="0" applyNumberFormat="1"/>
    <xf numFmtId="2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0" fillId="31" borderId="0" xfId="0" applyFill="1" applyAlignment="1">
      <alignment horizontal="left" vertical="center"/>
    </xf>
    <xf numFmtId="0" fontId="0" fillId="31" borderId="0" xfId="0" applyFill="1" applyAlignment="1">
      <alignment horizontal="center" vertical="center"/>
    </xf>
    <xf numFmtId="0" fontId="0" fillId="31" borderId="0" xfId="0" applyFill="1" applyAlignment="1">
      <alignment horizontal="left"/>
    </xf>
    <xf numFmtId="171" fontId="0" fillId="31" borderId="0" xfId="0" applyNumberFormat="1" applyFill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left"/>
    </xf>
    <xf numFmtId="171" fontId="0" fillId="0" borderId="0" xfId="1" applyNumberFormat="1" applyFont="1" applyAlignment="1">
      <alignment vertical="center"/>
    </xf>
    <xf numFmtId="2" fontId="0" fillId="4" borderId="0" xfId="1" applyNumberFormat="1" applyFont="1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170" fontId="0" fillId="4" borderId="0" xfId="1" applyNumberFormat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3" borderId="7" xfId="2" applyFill="1" applyBorder="1" applyAlignment="1" applyProtection="1">
      <alignment horizontal="center" vertical="top"/>
    </xf>
    <xf numFmtId="167" fontId="0" fillId="4" borderId="0" xfId="1" applyNumberFormat="1" applyFont="1" applyFill="1" applyAlignment="1">
      <alignment horizontal="center" vertical="center"/>
    </xf>
    <xf numFmtId="0" fontId="16" fillId="3" borderId="0" xfId="2" applyFont="1" applyFill="1" applyBorder="1" applyAlignment="1" applyProtection="1">
      <alignment horizontal="left" vertical="center"/>
    </xf>
    <xf numFmtId="171" fontId="0" fillId="0" borderId="0" xfId="0" applyNumberFormat="1" applyAlignment="1">
      <alignment horizontal="right" vertical="center"/>
    </xf>
    <xf numFmtId="0" fontId="16" fillId="0" borderId="0" xfId="0" applyFont="1"/>
    <xf numFmtId="171" fontId="10" fillId="18" borderId="0" xfId="4" applyNumberFormat="1" applyBorder="1" applyAlignment="1" applyProtection="1">
      <alignment horizontal="center" vertical="center"/>
    </xf>
    <xf numFmtId="175" fontId="0" fillId="0" borderId="0" xfId="0" applyNumberFormat="1"/>
    <xf numFmtId="171" fontId="0" fillId="0" borderId="0" xfId="0" applyNumberFormat="1" applyAlignment="1">
      <alignment horizontal="left"/>
    </xf>
    <xf numFmtId="10" fontId="0" fillId="13" borderId="0" xfId="0" applyNumberFormat="1" applyFill="1" applyAlignment="1">
      <alignment horizontal="center" vertical="center"/>
    </xf>
    <xf numFmtId="10" fontId="0" fillId="19" borderId="0" xfId="0" applyNumberFormat="1" applyFill="1" applyAlignment="1">
      <alignment horizontal="center" vertical="center"/>
    </xf>
    <xf numFmtId="10" fontId="1" fillId="37" borderId="0" xfId="3" applyNumberFormat="1" applyFont="1" applyFill="1" applyBorder="1" applyAlignment="1">
      <alignment horizontal="center" vertical="center"/>
    </xf>
    <xf numFmtId="10" fontId="1" fillId="38" borderId="0" xfId="3" applyNumberFormat="1" applyFont="1" applyFill="1" applyBorder="1" applyAlignment="1">
      <alignment horizontal="center" vertical="center"/>
    </xf>
    <xf numFmtId="10" fontId="1" fillId="26" borderId="0" xfId="3" applyNumberFormat="1" applyFont="1" applyFill="1" applyBorder="1" applyAlignment="1">
      <alignment horizontal="center" vertical="center"/>
    </xf>
    <xf numFmtId="10" fontId="1" fillId="34" borderId="0" xfId="3" applyNumberFormat="1" applyFont="1" applyFill="1" applyBorder="1" applyAlignment="1">
      <alignment horizontal="center" vertical="center"/>
    </xf>
    <xf numFmtId="10" fontId="0" fillId="20" borderId="0" xfId="0" applyNumberFormat="1" applyFill="1" applyAlignment="1">
      <alignment horizontal="center" vertical="center"/>
    </xf>
    <xf numFmtId="10" fontId="0" fillId="23" borderId="0" xfId="0" applyNumberFormat="1" applyFill="1" applyAlignment="1">
      <alignment horizontal="center" vertical="center"/>
    </xf>
    <xf numFmtId="10" fontId="1" fillId="24" borderId="0" xfId="3" applyNumberFormat="1" applyFont="1" applyFill="1" applyBorder="1" applyAlignment="1">
      <alignment horizontal="center" vertical="center"/>
    </xf>
    <xf numFmtId="10" fontId="1" fillId="25" borderId="0" xfId="3" applyNumberFormat="1" applyFont="1" applyFill="1" applyBorder="1" applyAlignment="1">
      <alignment horizontal="center" vertical="center"/>
    </xf>
    <xf numFmtId="10" fontId="0" fillId="21" borderId="0" xfId="3" applyNumberFormat="1" applyFont="1" applyFill="1" applyBorder="1" applyAlignment="1">
      <alignment horizontal="center" vertical="center"/>
    </xf>
    <xf numFmtId="10" fontId="0" fillId="33" borderId="0" xfId="0" applyNumberFormat="1" applyFill="1" applyAlignment="1">
      <alignment horizontal="center" vertical="center"/>
    </xf>
    <xf numFmtId="10" fontId="0" fillId="32" borderId="0" xfId="3" applyNumberFormat="1" applyFont="1" applyFill="1" applyBorder="1" applyAlignment="1">
      <alignment horizontal="center" vertical="center"/>
    </xf>
    <xf numFmtId="10" fontId="7" fillId="30" borderId="0" xfId="0" applyNumberFormat="1" applyFont="1" applyFill="1" applyAlignment="1">
      <alignment horizontal="center" vertical="center"/>
    </xf>
    <xf numFmtId="10" fontId="7" fillId="36" borderId="0" xfId="0" applyNumberFormat="1" applyFont="1" applyFill="1" applyAlignment="1">
      <alignment horizontal="center" vertical="center"/>
    </xf>
    <xf numFmtId="171" fontId="3" fillId="0" borderId="0" xfId="0" applyNumberFormat="1" applyFont="1"/>
    <xf numFmtId="2" fontId="1" fillId="0" borderId="1" xfId="2" applyNumberFormat="1" applyFill="1" applyBorder="1"/>
    <xf numFmtId="1" fontId="0" fillId="0" borderId="0" xfId="0" applyNumberFormat="1" applyAlignment="1">
      <alignment horizontal="right"/>
    </xf>
    <xf numFmtId="0" fontId="0" fillId="3" borderId="0" xfId="2" applyFont="1" applyFill="1" applyBorder="1"/>
    <xf numFmtId="0" fontId="17" fillId="21" borderId="11" xfId="2" applyFont="1" applyFill="1" applyBorder="1" applyAlignment="1">
      <alignment horizontal="center" vertical="center"/>
    </xf>
    <xf numFmtId="0" fontId="0" fillId="19" borderId="0" xfId="0" applyFill="1" applyAlignment="1">
      <alignment horizontal="left" vertical="top"/>
    </xf>
    <xf numFmtId="171" fontId="0" fillId="0" borderId="0" xfId="1" applyNumberFormat="1" applyFont="1" applyFill="1" applyAlignment="1">
      <alignment horizontal="center" vertical="center"/>
    </xf>
    <xf numFmtId="171" fontId="0" fillId="0" borderId="0" xfId="1" applyNumberFormat="1" applyFont="1" applyFill="1" applyAlignment="1">
      <alignment horizontal="center" vertical="top"/>
    </xf>
    <xf numFmtId="0" fontId="0" fillId="3" borderId="0" xfId="2" applyFont="1" applyFill="1" applyBorder="1" applyProtection="1"/>
    <xf numFmtId="10" fontId="0" fillId="38" borderId="0" xfId="3" applyNumberFormat="1" applyFont="1" applyFill="1" applyBorder="1" applyAlignment="1">
      <alignment horizontal="center" vertical="center"/>
    </xf>
    <xf numFmtId="10" fontId="0" fillId="26" borderId="0" xfId="3" applyNumberFormat="1" applyFont="1" applyFill="1" applyBorder="1" applyAlignment="1">
      <alignment horizontal="center" vertical="center"/>
    </xf>
    <xf numFmtId="171" fontId="0" fillId="5" borderId="0" xfId="0" applyNumberFormat="1" applyFill="1" applyAlignment="1">
      <alignment horizontal="center" vertical="center"/>
    </xf>
    <xf numFmtId="1" fontId="18" fillId="21" borderId="0" xfId="5" quotePrefix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20" borderId="0" xfId="0" applyFill="1" applyAlignment="1">
      <alignment horizontal="left"/>
    </xf>
    <xf numFmtId="171" fontId="0" fillId="2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4" borderId="0" xfId="0" applyFill="1" applyAlignment="1">
      <alignment vertical="center"/>
    </xf>
    <xf numFmtId="0" fontId="0" fillId="0" borderId="22" xfId="0" applyBorder="1"/>
    <xf numFmtId="2" fontId="0" fillId="0" borderId="22" xfId="0" applyNumberFormat="1" applyBorder="1"/>
    <xf numFmtId="0" fontId="0" fillId="0" borderId="22" xfId="0" applyBorder="1" applyAlignment="1">
      <alignment horizontal="left" vertical="top"/>
    </xf>
    <xf numFmtId="171" fontId="0" fillId="0" borderId="22" xfId="0" applyNumberFormat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3" borderId="0" xfId="0" applyFill="1" applyAlignment="1">
      <alignment horizontal="left" vertical="center"/>
    </xf>
    <xf numFmtId="171" fontId="0" fillId="3" borderId="0" xfId="0" applyNumberFormat="1" applyFill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0" fontId="0" fillId="0" borderId="0" xfId="2" applyFont="1" applyFill="1" applyBorder="1"/>
    <xf numFmtId="2" fontId="0" fillId="4" borderId="0" xfId="0" applyNumberFormat="1" applyFill="1"/>
    <xf numFmtId="2" fontId="0" fillId="0" borderId="0" xfId="0" applyNumberFormat="1" applyAlignment="1">
      <alignment horizontal="left"/>
    </xf>
    <xf numFmtId="168" fontId="0" fillId="0" borderId="0" xfId="0" applyNumberFormat="1"/>
    <xf numFmtId="176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left"/>
    </xf>
    <xf numFmtId="9" fontId="0" fillId="13" borderId="0" xfId="0" applyNumberFormat="1" applyFill="1" applyAlignment="1">
      <alignment horizontal="center" vertical="center"/>
    </xf>
    <xf numFmtId="9" fontId="0" fillId="19" borderId="0" xfId="0" applyNumberFormat="1" applyFill="1" applyAlignment="1">
      <alignment horizontal="center" vertical="center"/>
    </xf>
    <xf numFmtId="9" fontId="1" fillId="37" borderId="0" xfId="3" applyFont="1" applyFill="1" applyBorder="1" applyAlignment="1">
      <alignment horizontal="center" vertical="center"/>
    </xf>
    <xf numFmtId="9" fontId="0" fillId="38" borderId="0" xfId="3" applyFont="1" applyFill="1" applyBorder="1" applyAlignment="1">
      <alignment horizontal="center" vertical="center"/>
    </xf>
    <xf numFmtId="9" fontId="0" fillId="26" borderId="0" xfId="3" applyFont="1" applyFill="1" applyBorder="1" applyAlignment="1">
      <alignment horizontal="center" vertical="center"/>
    </xf>
    <xf numFmtId="9" fontId="1" fillId="34" borderId="0" xfId="3" applyFont="1" applyFill="1" applyBorder="1" applyAlignment="1">
      <alignment horizontal="center" vertical="center"/>
    </xf>
    <xf numFmtId="9" fontId="0" fillId="20" borderId="0" xfId="0" applyNumberFormat="1" applyFill="1" applyAlignment="1">
      <alignment horizontal="center" vertical="center"/>
    </xf>
    <xf numFmtId="9" fontId="0" fillId="23" borderId="0" xfId="0" applyNumberFormat="1" applyFill="1" applyAlignment="1">
      <alignment horizontal="center" vertical="center"/>
    </xf>
    <xf numFmtId="9" fontId="1" fillId="24" borderId="0" xfId="3" applyFont="1" applyFill="1" applyBorder="1" applyAlignment="1">
      <alignment horizontal="center" vertical="center"/>
    </xf>
    <xf numFmtId="9" fontId="1" fillId="25" borderId="0" xfId="3" applyFont="1" applyFill="1" applyBorder="1" applyAlignment="1">
      <alignment horizontal="center" vertical="center"/>
    </xf>
    <xf numFmtId="9" fontId="0" fillId="21" borderId="0" xfId="3" applyFont="1" applyFill="1" applyBorder="1" applyAlignment="1">
      <alignment horizontal="center" vertical="center"/>
    </xf>
    <xf numFmtId="9" fontId="0" fillId="33" borderId="0" xfId="0" applyNumberFormat="1" applyFill="1" applyAlignment="1">
      <alignment horizontal="center" vertical="center"/>
    </xf>
    <xf numFmtId="9" fontId="0" fillId="32" borderId="0" xfId="3" applyFont="1" applyFill="1" applyBorder="1" applyAlignment="1">
      <alignment horizontal="center" vertical="center"/>
    </xf>
    <xf numFmtId="9" fontId="7" fillId="36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13" fillId="3" borderId="0" xfId="2" applyFont="1" applyFill="1" applyBorder="1" applyAlignment="1" applyProtection="1">
      <alignment horizontal="center"/>
    </xf>
    <xf numFmtId="49" fontId="0" fillId="23" borderId="1" xfId="2" applyNumberFormat="1" applyFont="1" applyFill="1" applyBorder="1" applyAlignment="1">
      <alignment horizontal="center"/>
    </xf>
    <xf numFmtId="0" fontId="0" fillId="23" borderId="1" xfId="2" applyFont="1" applyFill="1" applyBorder="1" applyAlignment="1">
      <alignment horizontal="center" vertical="center"/>
    </xf>
    <xf numFmtId="0" fontId="1" fillId="23" borderId="1" xfId="2" applyFill="1" applyBorder="1" applyAlignment="1">
      <alignment horizontal="center" vertical="center"/>
    </xf>
    <xf numFmtId="1" fontId="0" fillId="23" borderId="1" xfId="2" applyNumberFormat="1" applyFont="1" applyFill="1" applyBorder="1" applyAlignment="1">
      <alignment horizontal="center"/>
    </xf>
    <xf numFmtId="0" fontId="0" fillId="23" borderId="1" xfId="2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2" fontId="3" fillId="0" borderId="0" xfId="2" applyNumberFormat="1" applyFont="1" applyFill="1" applyBorder="1" applyAlignment="1">
      <alignment horizontal="center" vertical="center"/>
    </xf>
    <xf numFmtId="2" fontId="18" fillId="21" borderId="0" xfId="5" quotePrefix="1" applyNumberFormat="1" applyFont="1" applyFill="1" applyBorder="1" applyAlignment="1">
      <alignment horizontal="center" vertical="center"/>
    </xf>
    <xf numFmtId="2" fontId="0" fillId="5" borderId="0" xfId="0" applyNumberFormat="1" applyFill="1" applyAlignment="1">
      <alignment horizontal="right"/>
    </xf>
    <xf numFmtId="171" fontId="1" fillId="21" borderId="0" xfId="2" applyNumberFormat="1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1" fillId="0" borderId="12" xfId="2" applyFont="1" applyFill="1" applyBorder="1" applyAlignment="1">
      <alignment horizontal="right" vertical="center"/>
    </xf>
    <xf numFmtId="0" fontId="1" fillId="33" borderId="0" xfId="0" applyFont="1" applyFill="1" applyAlignment="1">
      <alignment horizontal="center" vertical="center"/>
    </xf>
    <xf numFmtId="177" fontId="0" fillId="0" borderId="0" xfId="0" applyNumberFormat="1"/>
    <xf numFmtId="165" fontId="1" fillId="0" borderId="0" xfId="1" applyFont="1" applyAlignment="1">
      <alignment horizontal="right" vertical="top"/>
    </xf>
    <xf numFmtId="0" fontId="22" fillId="21" borderId="0" xfId="2" applyFont="1" applyFill="1"/>
    <xf numFmtId="0" fontId="0" fillId="0" borderId="0" xfId="2" applyFont="1" applyFill="1" applyBorder="1" applyAlignment="1">
      <alignment horizontal="center"/>
    </xf>
    <xf numFmtId="10" fontId="1" fillId="0" borderId="0" xfId="2" applyNumberForma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vertical="center"/>
    </xf>
    <xf numFmtId="2" fontId="0" fillId="0" borderId="0" xfId="2" applyNumberFormat="1" applyFont="1" applyFill="1" applyBorder="1" applyAlignment="1">
      <alignment horizontal="center"/>
    </xf>
    <xf numFmtId="2" fontId="23" fillId="21" borderId="11" xfId="5" quotePrefix="1" applyNumberFormat="1" applyFont="1" applyFill="1" applyBorder="1" applyAlignment="1">
      <alignment vertical="center"/>
    </xf>
    <xf numFmtId="0" fontId="0" fillId="4" borderId="0" xfId="0" applyFill="1" applyAlignment="1">
      <alignment horizontal="right"/>
    </xf>
    <xf numFmtId="171" fontId="0" fillId="22" borderId="0" xfId="0" applyNumberFormat="1" applyFill="1" applyAlignment="1">
      <alignment horizontal="center" vertical="center"/>
    </xf>
    <xf numFmtId="0" fontId="0" fillId="22" borderId="0" xfId="0" applyFill="1"/>
    <xf numFmtId="0" fontId="0" fillId="22" borderId="0" xfId="0" applyFill="1" applyAlignment="1">
      <alignment horizontal="right"/>
    </xf>
    <xf numFmtId="2" fontId="0" fillId="22" borderId="0" xfId="0" applyNumberFormat="1" applyFill="1"/>
    <xf numFmtId="0" fontId="0" fillId="22" borderId="0" xfId="0" applyFill="1" applyAlignment="1">
      <alignment horizontal="left" vertical="top"/>
    </xf>
    <xf numFmtId="2" fontId="2" fillId="40" borderId="0" xfId="0" applyNumberFormat="1" applyFont="1" applyFill="1" applyAlignment="1">
      <alignment horizontal="center" vertical="center"/>
    </xf>
    <xf numFmtId="171" fontId="2" fillId="40" borderId="0" xfId="0" applyNumberFormat="1" applyFont="1" applyFill="1" applyAlignment="1">
      <alignment horizontal="center" vertical="center"/>
    </xf>
    <xf numFmtId="0" fontId="0" fillId="33" borderId="6" xfId="0" applyFill="1" applyBorder="1" applyAlignment="1">
      <alignment horizontal="center"/>
    </xf>
    <xf numFmtId="0" fontId="0" fillId="33" borderId="14" xfId="0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171" fontId="1" fillId="31" borderId="15" xfId="1" applyNumberFormat="1" applyFont="1" applyFill="1" applyBorder="1" applyAlignment="1">
      <alignment horizontal="center" vertical="center"/>
    </xf>
    <xf numFmtId="0" fontId="0" fillId="31" borderId="9" xfId="0" applyFill="1" applyBorder="1" applyAlignment="1">
      <alignment horizontal="center" vertical="center"/>
    </xf>
    <xf numFmtId="171" fontId="0" fillId="31" borderId="16" xfId="0" applyNumberFormat="1" applyFill="1" applyBorder="1" applyAlignment="1">
      <alignment horizontal="center" vertical="center"/>
    </xf>
    <xf numFmtId="165" fontId="0" fillId="0" borderId="0" xfId="1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25" xfId="0" applyBorder="1" applyAlignment="1">
      <alignment horizontal="right" vertical="top"/>
    </xf>
    <xf numFmtId="17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right" vertical="top"/>
    </xf>
    <xf numFmtId="171" fontId="0" fillId="0" borderId="18" xfId="0" applyNumberFormat="1" applyBorder="1" applyAlignment="1">
      <alignment horizontal="center" vertical="center"/>
    </xf>
    <xf numFmtId="171" fontId="1" fillId="33" borderId="0" xfId="2" applyNumberFormat="1" applyFill="1" applyBorder="1" applyAlignment="1">
      <alignment horizontal="center" vertical="center"/>
    </xf>
    <xf numFmtId="2" fontId="5" fillId="0" borderId="0" xfId="2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71" fontId="25" fillId="0" borderId="0" xfId="0" applyNumberFormat="1" applyFont="1" applyAlignment="1">
      <alignment horizontal="center" vertical="center"/>
    </xf>
    <xf numFmtId="171" fontId="27" fillId="0" borderId="0" xfId="0" applyNumberFormat="1" applyFont="1" applyAlignment="1">
      <alignment horizontal="center" vertical="center"/>
    </xf>
    <xf numFmtId="0" fontId="0" fillId="3" borderId="11" xfId="2" applyFont="1" applyFill="1" applyBorder="1" applyProtection="1"/>
    <xf numFmtId="0" fontId="26" fillId="0" borderId="0" xfId="0" applyFont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textRotation="90"/>
    </xf>
    <xf numFmtId="0" fontId="0" fillId="0" borderId="2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1" fontId="5" fillId="12" borderId="19" xfId="3" applyNumberFormat="1" applyFont="1" applyFill="1" applyBorder="1" applyAlignment="1">
      <alignment horizontal="center" vertical="center"/>
    </xf>
    <xf numFmtId="171" fontId="0" fillId="9" borderId="19" xfId="3" applyNumberFormat="1" applyFont="1" applyFill="1" applyBorder="1" applyAlignment="1">
      <alignment horizontal="center" vertical="center"/>
    </xf>
    <xf numFmtId="171" fontId="0" fillId="10" borderId="19" xfId="3" applyNumberFormat="1" applyFont="1" applyFill="1" applyBorder="1" applyAlignment="1">
      <alignment horizontal="center" vertical="center"/>
    </xf>
    <xf numFmtId="171" fontId="0" fillId="11" borderId="19" xfId="3" applyNumberFormat="1" applyFont="1" applyFill="1" applyBorder="1" applyAlignment="1">
      <alignment horizontal="center" vertical="center"/>
    </xf>
    <xf numFmtId="171" fontId="0" fillId="7" borderId="19" xfId="3" applyNumberFormat="1" applyFont="1" applyFill="1" applyBorder="1" applyAlignment="1">
      <alignment horizontal="center" vertical="center"/>
    </xf>
    <xf numFmtId="171" fontId="0" fillId="0" borderId="19" xfId="0" applyNumberFormat="1" applyBorder="1" applyAlignment="1">
      <alignment horizontal="center" vertical="center"/>
    </xf>
    <xf numFmtId="171" fontId="0" fillId="0" borderId="31" xfId="0" applyNumberFormat="1" applyBorder="1" applyAlignment="1">
      <alignment horizontal="center" vertical="center"/>
    </xf>
    <xf numFmtId="171" fontId="0" fillId="0" borderId="33" xfId="0" applyNumberFormat="1" applyBorder="1" applyAlignment="1">
      <alignment horizontal="center" vertical="center"/>
    </xf>
    <xf numFmtId="171" fontId="0" fillId="0" borderId="34" xfId="0" applyNumberFormat="1" applyBorder="1" applyAlignment="1">
      <alignment horizontal="center" vertical="center"/>
    </xf>
    <xf numFmtId="2" fontId="0" fillId="14" borderId="0" xfId="0" applyNumberFormat="1" applyFill="1"/>
    <xf numFmtId="2" fontId="0" fillId="39" borderId="0" xfId="0" applyNumberFormat="1" applyFill="1"/>
    <xf numFmtId="0" fontId="3" fillId="0" borderId="28" xfId="0" applyFont="1" applyBorder="1" applyAlignment="1">
      <alignment horizontal="center"/>
    </xf>
    <xf numFmtId="2" fontId="28" fillId="4" borderId="0" xfId="0" applyNumberFormat="1" applyFont="1" applyFill="1" applyAlignment="1">
      <alignment horizontal="center" vertical="center"/>
    </xf>
    <xf numFmtId="0" fontId="28" fillId="4" borderId="36" xfId="0" applyFont="1" applyFill="1" applyBorder="1" applyAlignment="1">
      <alignment horizontal="center"/>
    </xf>
    <xf numFmtId="0" fontId="28" fillId="4" borderId="35" xfId="0" applyFont="1" applyFill="1" applyBorder="1" applyAlignment="1">
      <alignment horizontal="center"/>
    </xf>
    <xf numFmtId="171" fontId="28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2" fontId="26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14" borderId="0" xfId="0" applyFill="1"/>
    <xf numFmtId="0" fontId="0" fillId="20" borderId="8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20" borderId="14" xfId="0" applyFill="1" applyBorder="1" applyAlignment="1">
      <alignment horizontal="center"/>
    </xf>
    <xf numFmtId="171" fontId="0" fillId="0" borderId="15" xfId="0" applyNumberFormat="1" applyBorder="1"/>
    <xf numFmtId="0" fontId="0" fillId="20" borderId="9" xfId="0" applyFill="1" applyBorder="1" applyAlignment="1">
      <alignment horizontal="center"/>
    </xf>
    <xf numFmtId="171" fontId="0" fillId="0" borderId="16" xfId="0" applyNumberFormat="1" applyBorder="1"/>
    <xf numFmtId="171" fontId="5" fillId="40" borderId="0" xfId="3" applyNumberFormat="1" applyFont="1" applyFill="1" applyBorder="1" applyAlignment="1">
      <alignment horizontal="center"/>
    </xf>
    <xf numFmtId="171" fontId="0" fillId="40" borderId="11" xfId="0" applyNumberFormat="1" applyFill="1" applyBorder="1"/>
    <xf numFmtId="171" fontId="0" fillId="27" borderId="0" xfId="3" applyNumberFormat="1" applyFont="1" applyFill="1" applyBorder="1" applyAlignment="1">
      <alignment horizontal="center"/>
    </xf>
    <xf numFmtId="171" fontId="0" fillId="27" borderId="11" xfId="0" applyNumberFormat="1" applyFill="1" applyBorder="1"/>
    <xf numFmtId="171" fontId="0" fillId="36" borderId="0" xfId="3" applyNumberFormat="1" applyFont="1" applyFill="1" applyBorder="1" applyAlignment="1">
      <alignment horizontal="center"/>
    </xf>
    <xf numFmtId="171" fontId="0" fillId="36" borderId="11" xfId="0" applyNumberFormat="1" applyFill="1" applyBorder="1"/>
    <xf numFmtId="171" fontId="0" fillId="23" borderId="0" xfId="3" applyNumberFormat="1" applyFont="1" applyFill="1" applyBorder="1" applyAlignment="1">
      <alignment horizontal="center"/>
    </xf>
    <xf numFmtId="171" fontId="0" fillId="23" borderId="11" xfId="0" applyNumberFormat="1" applyFill="1" applyBorder="1"/>
    <xf numFmtId="171" fontId="0" fillId="25" borderId="0" xfId="3" applyNumberFormat="1" applyFont="1" applyFill="1" applyBorder="1" applyAlignment="1">
      <alignment horizontal="center"/>
    </xf>
    <xf numFmtId="171" fontId="0" fillId="25" borderId="11" xfId="0" applyNumberFormat="1" applyFill="1" applyBorder="1"/>
    <xf numFmtId="171" fontId="0" fillId="28" borderId="0" xfId="3" applyNumberFormat="1" applyFont="1" applyFill="1" applyBorder="1" applyAlignment="1">
      <alignment horizontal="center"/>
    </xf>
    <xf numFmtId="171" fontId="0" fillId="28" borderId="11" xfId="0" applyNumberFormat="1" applyFill="1" applyBorder="1"/>
    <xf numFmtId="171" fontId="0" fillId="34" borderId="0" xfId="3" applyNumberFormat="1" applyFont="1" applyFill="1" applyBorder="1" applyAlignment="1">
      <alignment horizontal="center"/>
    </xf>
    <xf numFmtId="171" fontId="0" fillId="34" borderId="11" xfId="0" applyNumberFormat="1" applyFill="1" applyBorder="1"/>
    <xf numFmtId="171" fontId="0" fillId="26" borderId="0" xfId="3" applyNumberFormat="1" applyFont="1" applyFill="1" applyBorder="1" applyAlignment="1">
      <alignment horizontal="center"/>
    </xf>
    <xf numFmtId="171" fontId="0" fillId="29" borderId="11" xfId="0" applyNumberFormat="1" applyFill="1" applyBorder="1"/>
    <xf numFmtId="171" fontId="0" fillId="22" borderId="11" xfId="0" applyNumberFormat="1" applyFill="1" applyBorder="1"/>
    <xf numFmtId="171" fontId="0" fillId="35" borderId="11" xfId="0" applyNumberFormat="1" applyFill="1" applyBorder="1"/>
    <xf numFmtId="171" fontId="0" fillId="26" borderId="11" xfId="0" applyNumberFormat="1" applyFill="1" applyBorder="1"/>
    <xf numFmtId="171" fontId="0" fillId="29" borderId="0" xfId="0" applyNumberFormat="1" applyFill="1"/>
    <xf numFmtId="171" fontId="0" fillId="22" borderId="0" xfId="0" applyNumberFormat="1" applyFill="1"/>
    <xf numFmtId="171" fontId="0" fillId="35" borderId="0" xfId="0" applyNumberFormat="1" applyFill="1"/>
    <xf numFmtId="171" fontId="0" fillId="41" borderId="0" xfId="0" applyNumberFormat="1" applyFill="1"/>
    <xf numFmtId="171" fontId="0" fillId="26" borderId="0" xfId="0" applyNumberFormat="1" applyFill="1"/>
    <xf numFmtId="171" fontId="0" fillId="40" borderId="0" xfId="0" applyNumberFormat="1" applyFill="1"/>
    <xf numFmtId="171" fontId="0" fillId="27" borderId="0" xfId="0" applyNumberFormat="1" applyFill="1"/>
    <xf numFmtId="171" fontId="0" fillId="36" borderId="0" xfId="0" applyNumberFormat="1" applyFill="1"/>
    <xf numFmtId="171" fontId="0" fillId="23" borderId="0" xfId="0" applyNumberFormat="1" applyFill="1"/>
    <xf numFmtId="171" fontId="0" fillId="25" borderId="0" xfId="0" applyNumberFormat="1" applyFill="1"/>
    <xf numFmtId="171" fontId="0" fillId="28" borderId="0" xfId="0" applyNumberFormat="1" applyFill="1"/>
    <xf numFmtId="171" fontId="0" fillId="34" borderId="0" xfId="0" applyNumberFormat="1" applyFill="1"/>
    <xf numFmtId="171" fontId="0" fillId="41" borderId="11" xfId="0" applyNumberFormat="1" applyFill="1" applyBorder="1"/>
    <xf numFmtId="0" fontId="6" fillId="13" borderId="6" xfId="0" applyFont="1" applyFill="1" applyBorder="1" applyAlignment="1">
      <alignment vertical="center"/>
    </xf>
    <xf numFmtId="0" fontId="6" fillId="13" borderId="7" xfId="0" applyFont="1" applyFill="1" applyBorder="1" applyAlignment="1">
      <alignment vertical="center"/>
    </xf>
    <xf numFmtId="9" fontId="0" fillId="14" borderId="0" xfId="0" applyNumberFormat="1" applyFill="1"/>
    <xf numFmtId="0" fontId="3" fillId="13" borderId="7" xfId="0" applyFont="1" applyFill="1" applyBorder="1"/>
    <xf numFmtId="0" fontId="3" fillId="13" borderId="14" xfId="0" applyFont="1" applyFill="1" applyBorder="1"/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6" xfId="0" applyBorder="1"/>
    <xf numFmtId="0" fontId="31" fillId="0" borderId="37" xfId="0" applyFont="1" applyBorder="1" applyAlignment="1">
      <alignment vertical="center" wrapText="1"/>
    </xf>
    <xf numFmtId="0" fontId="31" fillId="0" borderId="37" xfId="0" applyFont="1" applyBorder="1" applyAlignment="1">
      <alignment horizontal="center" vertical="center" wrapText="1"/>
    </xf>
    <xf numFmtId="0" fontId="33" fillId="0" borderId="0" xfId="0" applyFont="1"/>
    <xf numFmtId="0" fontId="34" fillId="0" borderId="37" xfId="0" applyFont="1" applyBorder="1" applyAlignment="1">
      <alignment vertical="center" wrapText="1"/>
    </xf>
    <xf numFmtId="0" fontId="32" fillId="0" borderId="37" xfId="0" applyFont="1" applyBorder="1" applyAlignment="1">
      <alignment horizontal="center" vertical="center" wrapText="1"/>
    </xf>
    <xf numFmtId="0" fontId="26" fillId="0" borderId="0" xfId="0" applyFont="1"/>
    <xf numFmtId="0" fontId="0" fillId="0" borderId="21" xfId="0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top"/>
    </xf>
    <xf numFmtId="171" fontId="36" fillId="0" borderId="0" xfId="0" applyNumberFormat="1" applyFont="1" applyAlignment="1">
      <alignment horizontal="center" vertical="center"/>
    </xf>
    <xf numFmtId="0" fontId="36" fillId="0" borderId="23" xfId="0" applyFont="1" applyBorder="1" applyAlignment="1">
      <alignment horizontal="left" vertical="top"/>
    </xf>
    <xf numFmtId="0" fontId="36" fillId="0" borderId="24" xfId="0" applyFont="1" applyBorder="1" applyAlignment="1">
      <alignment horizontal="left" vertical="top"/>
    </xf>
    <xf numFmtId="0" fontId="36" fillId="0" borderId="25" xfId="0" applyFont="1" applyBorder="1" applyAlignment="1">
      <alignment horizontal="left" vertical="top"/>
    </xf>
    <xf numFmtId="0" fontId="36" fillId="0" borderId="26" xfId="0" applyFont="1" applyBorder="1" applyAlignment="1">
      <alignment horizontal="left" vertical="top"/>
    </xf>
    <xf numFmtId="0" fontId="36" fillId="0" borderId="27" xfId="0" applyFont="1" applyBorder="1" applyAlignment="1">
      <alignment horizontal="left" vertical="top"/>
    </xf>
    <xf numFmtId="0" fontId="36" fillId="0" borderId="18" xfId="0" applyFont="1" applyBorder="1" applyAlignment="1">
      <alignment horizontal="left" vertical="top"/>
    </xf>
    <xf numFmtId="0" fontId="0" fillId="20" borderId="0" xfId="0" applyFill="1" applyAlignment="1">
      <alignment horizontal="center" vertical="center"/>
    </xf>
    <xf numFmtId="49" fontId="0" fillId="20" borderId="0" xfId="0" applyNumberForma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wrapText="1"/>
    </xf>
    <xf numFmtId="178" fontId="2" fillId="0" borderId="0" xfId="1" applyNumberFormat="1" applyFont="1" applyBorder="1" applyAlignment="1">
      <alignment horizontal="center" vertical="center" wrapText="1"/>
    </xf>
    <xf numFmtId="3" fontId="37" fillId="0" borderId="19" xfId="1" applyNumberFormat="1" applyFont="1" applyBorder="1" applyAlignment="1">
      <alignment horizontal="center" vertical="center" wrapText="1"/>
    </xf>
    <xf numFmtId="3" fontId="37" fillId="0" borderId="0" xfId="1" applyNumberFormat="1" applyFont="1" applyBorder="1" applyAlignment="1">
      <alignment horizontal="center" vertical="center" wrapText="1"/>
    </xf>
    <xf numFmtId="171" fontId="8" fillId="0" borderId="19" xfId="0" applyNumberFormat="1" applyFont="1" applyBorder="1" applyAlignment="1">
      <alignment horizontal="center" vertical="center" wrapText="1"/>
    </xf>
    <xf numFmtId="171" fontId="8" fillId="0" borderId="19" xfId="1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65" fontId="37" fillId="0" borderId="19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2" applyFont="1" applyFill="1" applyBorder="1" applyAlignment="1">
      <alignment horizontal="center"/>
    </xf>
    <xf numFmtId="171" fontId="0" fillId="4" borderId="0" xfId="0" applyNumberFormat="1" applyFill="1"/>
    <xf numFmtId="0" fontId="0" fillId="0" borderId="0" xfId="0" applyAlignment="1">
      <alignment horizontal="center"/>
    </xf>
    <xf numFmtId="171" fontId="28" fillId="4" borderId="24" xfId="0" applyNumberFormat="1" applyFont="1" applyFill="1" applyBorder="1" applyAlignment="1">
      <alignment horizontal="center"/>
    </xf>
    <xf numFmtId="171" fontId="0" fillId="0" borderId="41" xfId="0" applyNumberFormat="1" applyBorder="1" applyAlignment="1">
      <alignment horizontal="center" vertical="center"/>
    </xf>
    <xf numFmtId="171" fontId="0" fillId="0" borderId="42" xfId="0" applyNumberFormat="1" applyBorder="1" applyAlignment="1">
      <alignment horizontal="center" vertical="center"/>
    </xf>
    <xf numFmtId="171" fontId="0" fillId="3" borderId="19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3" borderId="20" xfId="0" applyFont="1" applyFill="1" applyBorder="1" applyAlignment="1">
      <alignment horizontal="center" vertical="center"/>
    </xf>
    <xf numFmtId="171" fontId="0" fillId="3" borderId="31" xfId="0" applyNumberFormat="1" applyFont="1" applyFill="1" applyBorder="1" applyAlignment="1">
      <alignment horizontal="center" vertical="center"/>
    </xf>
    <xf numFmtId="171" fontId="28" fillId="4" borderId="19" xfId="0" applyNumberFormat="1" applyFont="1" applyFill="1" applyBorder="1" applyAlignment="1">
      <alignment horizontal="center" vertical="center"/>
    </xf>
    <xf numFmtId="171" fontId="28" fillId="4" borderId="19" xfId="0" applyNumberFormat="1" applyFont="1" applyFill="1" applyBorder="1" applyAlignment="1">
      <alignment horizontal="center"/>
    </xf>
    <xf numFmtId="171" fontId="28" fillId="4" borderId="33" xfId="0" applyNumberFormat="1" applyFont="1" applyFill="1" applyBorder="1" applyAlignment="1">
      <alignment horizontal="center"/>
    </xf>
    <xf numFmtId="171" fontId="28" fillId="4" borderId="26" xfId="0" applyNumberFormat="1" applyFont="1" applyFill="1" applyBorder="1" applyAlignment="1">
      <alignment horizontal="center"/>
    </xf>
    <xf numFmtId="171" fontId="28" fillId="4" borderId="27" xfId="0" applyNumberFormat="1" applyFont="1" applyFill="1" applyBorder="1" applyAlignment="1">
      <alignment horizontal="center" vertical="center"/>
    </xf>
    <xf numFmtId="171" fontId="28" fillId="4" borderId="44" xfId="0" applyNumberFormat="1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165" fontId="0" fillId="0" borderId="0" xfId="1" applyFont="1" applyBorder="1" applyAlignment="1">
      <alignment horizontal="center" vertical="center" wrapText="1"/>
    </xf>
    <xf numFmtId="165" fontId="38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71" fontId="8" fillId="0" borderId="0" xfId="0" applyNumberFormat="1" applyFont="1" applyBorder="1" applyAlignment="1">
      <alignment horizontal="center" vertical="center" wrapText="1"/>
    </xf>
    <xf numFmtId="171" fontId="8" fillId="0" borderId="0" xfId="0" applyNumberFormat="1" applyFont="1" applyBorder="1" applyAlignment="1">
      <alignment wrapText="1"/>
    </xf>
    <xf numFmtId="171" fontId="8" fillId="0" borderId="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23" borderId="1" xfId="2" applyNumberFormat="1" applyFont="1" applyFill="1" applyBorder="1" applyAlignment="1">
      <alignment horizontal="center"/>
    </xf>
    <xf numFmtId="165" fontId="0" fillId="0" borderId="0" xfId="1" applyFont="1" applyAlignment="1">
      <alignment horizontal="right" vertical="top"/>
    </xf>
    <xf numFmtId="0" fontId="0" fillId="0" borderId="0" xfId="0" applyAlignment="1">
      <alignment horizontal="center"/>
    </xf>
    <xf numFmtId="0" fontId="3" fillId="0" borderId="0" xfId="2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5" xfId="2" applyFont="1" applyFill="1" applyBorder="1" applyAlignment="1" applyProtection="1">
      <alignment horizontal="center" vertical="center" wrapText="1"/>
    </xf>
    <xf numFmtId="0" fontId="15" fillId="21" borderId="11" xfId="2" applyFont="1" applyFill="1" applyBorder="1" applyAlignment="1">
      <alignment horizontal="center" vertical="center"/>
    </xf>
    <xf numFmtId="0" fontId="0" fillId="0" borderId="12" xfId="2" applyFont="1" applyFill="1" applyBorder="1" applyAlignment="1">
      <alignment horizontal="center" vertical="center"/>
    </xf>
    <xf numFmtId="0" fontId="0" fillId="0" borderId="17" xfId="2" applyFont="1" applyFill="1" applyBorder="1" applyAlignment="1">
      <alignment horizontal="center" vertical="center"/>
    </xf>
    <xf numFmtId="2" fontId="29" fillId="0" borderId="0" xfId="1" applyNumberFormat="1" applyFon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9" fontId="3" fillId="14" borderId="0" xfId="0" applyNumberFormat="1" applyFont="1" applyFill="1" applyAlignment="1">
      <alignment horizontal="center"/>
    </xf>
    <xf numFmtId="0" fontId="6" fillId="39" borderId="8" xfId="0" applyFont="1" applyFill="1" applyBorder="1" applyAlignment="1">
      <alignment horizontal="center" vertical="center"/>
    </xf>
    <xf numFmtId="0" fontId="6" fillId="39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2" fontId="16" fillId="0" borderId="21" xfId="1" applyNumberFormat="1" applyFont="1" applyBorder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165" fontId="8" fillId="0" borderId="38" xfId="1" applyFont="1" applyBorder="1" applyAlignment="1">
      <alignment horizontal="center" vertical="center" wrapText="1"/>
    </xf>
    <xf numFmtId="165" fontId="8" fillId="0" borderId="39" xfId="1" applyFont="1" applyBorder="1" applyAlignment="1">
      <alignment horizontal="center" vertical="center" wrapText="1"/>
    </xf>
    <xf numFmtId="165" fontId="8" fillId="0" borderId="40" xfId="1" applyFont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3" fillId="0" borderId="0" xfId="0" applyFont="1" applyAlignment="1">
      <alignment horizontal="center" vertical="top"/>
    </xf>
    <xf numFmtId="165" fontId="8" fillId="0" borderId="0" xfId="1" applyFont="1" applyBorder="1" applyAlignment="1">
      <alignment horizontal="center" vertical="center" wrapText="1"/>
    </xf>
    <xf numFmtId="171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20% — akcent 3" xfId="2" builtinId="38"/>
    <cellStyle name="Dziesiętny" xfId="1" builtinId="3"/>
    <cellStyle name="Dziesiętny 2" xfId="6" xr:uid="{00000000-0005-0000-0000-000030000000}"/>
    <cellStyle name="Hiperłącze" xfId="5" builtinId="8"/>
    <cellStyle name="Normalny" xfId="0" builtinId="0"/>
    <cellStyle name="Procentowy" xfId="3" builtinId="5"/>
    <cellStyle name="Zły" xfId="4" builtinId="27"/>
  </cellStyles>
  <dxfs count="0"/>
  <tableStyles count="0" defaultTableStyle="TableStyleMedium2" defaultPivotStyle="PivotStyleLight16"/>
  <colors>
    <mruColors>
      <color rgb="FFFF0000"/>
      <color rgb="FF392F57"/>
      <color rgb="FF000066"/>
      <color rgb="FF333333"/>
      <color rgb="FF1C1C1C"/>
      <color rgb="FFFF8B8B"/>
      <color rgb="FF32457A"/>
      <color rgb="FF1F365F"/>
      <color rgb="FF223B68"/>
      <color rgb="FF284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418"/><Relationship Id="rId1" Type="http://schemas.openxmlformats.org/officeDocument/2006/relationships/hyperlink" Target="#'Cennik Produkcja '!B35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83"/><Relationship Id="rId1" Type="http://schemas.openxmlformats.org/officeDocument/2006/relationships/hyperlink" Target="#'Cennik Produkcja '!B320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264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43"/><Relationship Id="rId2" Type="http://schemas.openxmlformats.org/officeDocument/2006/relationships/hyperlink" Target="#'Cennik Produkcja '!B285"/><Relationship Id="rId1" Type="http://schemas.openxmlformats.org/officeDocument/2006/relationships/hyperlink" Target="#'Cennik Produkcja '!B278"/><Relationship Id="rId4" Type="http://schemas.openxmlformats.org/officeDocument/2006/relationships/hyperlink" Target="#'Cennik Produkcja '!B432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257"/><Relationship Id="rId2" Type="http://schemas.openxmlformats.org/officeDocument/2006/relationships/hyperlink" Target="#'Cennik Produkcja '!B236"/><Relationship Id="rId1" Type="http://schemas.openxmlformats.org/officeDocument/2006/relationships/hyperlink" Target="#'Cennik Produkcja '!B250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48"/><Relationship Id="rId1" Type="http://schemas.openxmlformats.org/officeDocument/2006/relationships/hyperlink" Target="#'Cennik Produkcja '!B34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11"/><Relationship Id="rId1" Type="http://schemas.openxmlformats.org/officeDocument/2006/relationships/hyperlink" Target="#'Cennik Produkcja '!B6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27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425"/><Relationship Id="rId1" Type="http://schemas.openxmlformats.org/officeDocument/2006/relationships/hyperlink" Target="#'Cennik Produkcja '!B16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58"/><Relationship Id="rId1" Type="http://schemas.openxmlformats.org/officeDocument/2006/relationships/hyperlink" Target="#'Cennik Produkcja '!B50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89"/><Relationship Id="rId1" Type="http://schemas.openxmlformats.org/officeDocument/2006/relationships/hyperlink" Target="#'Cennik Produkcja '!B67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36"/><Relationship Id="rId2" Type="http://schemas.openxmlformats.org/officeDocument/2006/relationships/hyperlink" Target="#'Cennik Produkcja '!B29"/><Relationship Id="rId1" Type="http://schemas.openxmlformats.org/officeDocument/2006/relationships/hyperlink" Target="#'Cennik Produkcja '!B22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117"/><Relationship Id="rId7" Type="http://schemas.openxmlformats.org/officeDocument/2006/relationships/hyperlink" Target="#'Cennik Produkcja '!B126"/><Relationship Id="rId2" Type="http://schemas.openxmlformats.org/officeDocument/2006/relationships/hyperlink" Target="#'Cennik Produkcja '!B144"/><Relationship Id="rId1" Type="http://schemas.openxmlformats.org/officeDocument/2006/relationships/hyperlink" Target="#'Cennik Produkcja '!B198"/><Relationship Id="rId6" Type="http://schemas.openxmlformats.org/officeDocument/2006/relationships/hyperlink" Target="#'Cennik Produkcja '!B189"/><Relationship Id="rId5" Type="http://schemas.openxmlformats.org/officeDocument/2006/relationships/hyperlink" Target="#'Cennik Produkcja '!B180"/><Relationship Id="rId4" Type="http://schemas.openxmlformats.org/officeDocument/2006/relationships/hyperlink" Target="#'Cennik Produkcja '!B135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170"/><Relationship Id="rId2" Type="http://schemas.openxmlformats.org/officeDocument/2006/relationships/hyperlink" Target="#'Cennik Produkcja '!B161"/><Relationship Id="rId1" Type="http://schemas.openxmlformats.org/officeDocument/2006/relationships/hyperlink" Target="#'Cennik Produkcja '!B153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229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390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76"/><Relationship Id="rId1" Type="http://schemas.openxmlformats.org/officeDocument/2006/relationships/hyperlink" Target="#'Cennik Produkcja '!B306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207"/><Relationship Id="rId2" Type="http://schemas.openxmlformats.org/officeDocument/2006/relationships/hyperlink" Target="#'Cennik Produkcja '!B215"/><Relationship Id="rId1" Type="http://schemas.openxmlformats.org/officeDocument/2006/relationships/hyperlink" Target="#'Cennik Produkcja '!B222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243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313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299"/><Relationship Id="rId1" Type="http://schemas.openxmlformats.org/officeDocument/2006/relationships/hyperlink" Target="#'Cennik Produkcja '!B292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34"/><Relationship Id="rId1" Type="http://schemas.openxmlformats.org/officeDocument/2006/relationships/hyperlink" Target="#'Cennik Produkcja '!B327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'Cennik Produkcja '!B102"/><Relationship Id="rId2" Type="http://schemas.openxmlformats.org/officeDocument/2006/relationships/hyperlink" Target="#'Cennik Produkcja '!B95"/><Relationship Id="rId1" Type="http://schemas.openxmlformats.org/officeDocument/2006/relationships/hyperlink" Target="#'Cennik Produkcja '!B81"/><Relationship Id="rId6" Type="http://schemas.openxmlformats.org/officeDocument/2006/relationships/hyperlink" Target="#'Cennik Produkcja '!B74"/><Relationship Id="rId5" Type="http://schemas.openxmlformats.org/officeDocument/2006/relationships/hyperlink" Target="#'Cennik Produkcja '!B88"/><Relationship Id="rId4" Type="http://schemas.openxmlformats.org/officeDocument/2006/relationships/hyperlink" Target="#'Cennik Produkcja '!B109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Cennik Produkcja '!B397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369"/><Relationship Id="rId1" Type="http://schemas.openxmlformats.org/officeDocument/2006/relationships/hyperlink" Target="#'Cennik Produkcja '!B362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'Cennik Produkcja '!B418"/><Relationship Id="rId1" Type="http://schemas.openxmlformats.org/officeDocument/2006/relationships/hyperlink" Target="#'Cennik Produkcja '!B41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114300</xdr:rowOff>
    </xdr:to>
    <xdr:sp macro="" textlink="">
      <xdr:nvSpPr>
        <xdr:cNvPr id="1036" name="AutoShape 12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114300</xdr:rowOff>
    </xdr:to>
    <xdr:sp macro="" textlink="">
      <xdr:nvSpPr>
        <xdr:cNvPr id="1037" name="AutoShape 13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92075</xdr:rowOff>
    </xdr:to>
    <xdr:sp macro="" textlink="">
      <xdr:nvSpPr>
        <xdr:cNvPr id="1038" name="AutoShape 14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361</xdr:row>
      <xdr:rowOff>0</xdr:rowOff>
    </xdr:from>
    <xdr:ext cx="304800" cy="304800"/>
    <xdr:sp macro="" textlink="">
      <xdr:nvSpPr>
        <xdr:cNvPr id="115" name="AutoShape 12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A84E8713-169F-4BAE-9DF0-41FAF9F831A2}"/>
            </a:ext>
          </a:extLst>
        </xdr:cNvPr>
        <xdr:cNvSpPr>
          <a:spLocks noChangeAspect="1" noChangeArrowheads="1"/>
        </xdr:cNvSpPr>
      </xdr:nvSpPr>
      <xdr:spPr bwMode="auto">
        <a:xfrm>
          <a:off x="0" y="422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361</xdr:row>
      <xdr:rowOff>0</xdr:rowOff>
    </xdr:from>
    <xdr:ext cx="304800" cy="304800"/>
    <xdr:sp macro="" textlink="">
      <xdr:nvSpPr>
        <xdr:cNvPr id="116" name="AutoShape 13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51105A20-350A-4D76-B8B7-566324CD3CD4}"/>
            </a:ext>
          </a:extLst>
        </xdr:cNvPr>
        <xdr:cNvSpPr>
          <a:spLocks noChangeAspect="1" noChangeArrowheads="1"/>
        </xdr:cNvSpPr>
      </xdr:nvSpPr>
      <xdr:spPr bwMode="auto">
        <a:xfrm>
          <a:off x="0" y="422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368</xdr:row>
      <xdr:rowOff>0</xdr:rowOff>
    </xdr:from>
    <xdr:ext cx="304800" cy="304800"/>
    <xdr:sp macro="" textlink="">
      <xdr:nvSpPr>
        <xdr:cNvPr id="120" name="AutoShape 12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8884AEF8-7C2F-41B1-990D-A922F83A1B29}"/>
            </a:ext>
          </a:extLst>
        </xdr:cNvPr>
        <xdr:cNvSpPr>
          <a:spLocks noChangeAspect="1" noChangeArrowheads="1"/>
        </xdr:cNvSpPr>
      </xdr:nvSpPr>
      <xdr:spPr bwMode="auto">
        <a:xfrm>
          <a:off x="0" y="68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368</xdr:row>
      <xdr:rowOff>0</xdr:rowOff>
    </xdr:from>
    <xdr:ext cx="304800" cy="304800"/>
    <xdr:sp macro="" textlink="">
      <xdr:nvSpPr>
        <xdr:cNvPr id="121" name="AutoShape 13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D89FB2D3-7585-47BA-887C-97E5AC8C3CE3}"/>
            </a:ext>
          </a:extLst>
        </xdr:cNvPr>
        <xdr:cNvSpPr>
          <a:spLocks noChangeAspect="1" noChangeArrowheads="1"/>
        </xdr:cNvSpPr>
      </xdr:nvSpPr>
      <xdr:spPr bwMode="auto">
        <a:xfrm>
          <a:off x="0" y="68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396</xdr:row>
      <xdr:rowOff>0</xdr:rowOff>
    </xdr:from>
    <xdr:ext cx="304800" cy="304800"/>
    <xdr:sp macro="" textlink="">
      <xdr:nvSpPr>
        <xdr:cNvPr id="144" name="AutoShape 12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D065C1CF-4C15-4D91-BD99-ECC8A7B2C577}"/>
            </a:ext>
          </a:extLst>
        </xdr:cNvPr>
        <xdr:cNvSpPr>
          <a:spLocks noChangeAspect="1" noChangeArrowheads="1"/>
        </xdr:cNvSpPr>
      </xdr:nvSpPr>
      <xdr:spPr bwMode="auto">
        <a:xfrm>
          <a:off x="0" y="68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396</xdr:row>
      <xdr:rowOff>0</xdr:rowOff>
    </xdr:from>
    <xdr:ext cx="304800" cy="304800"/>
    <xdr:sp macro="" textlink="">
      <xdr:nvSpPr>
        <xdr:cNvPr id="145" name="AutoShape 13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8E785907-19C5-414D-B192-3C4C7ED7781F}"/>
            </a:ext>
          </a:extLst>
        </xdr:cNvPr>
        <xdr:cNvSpPr>
          <a:spLocks noChangeAspect="1" noChangeArrowheads="1"/>
        </xdr:cNvSpPr>
      </xdr:nvSpPr>
      <xdr:spPr bwMode="auto">
        <a:xfrm>
          <a:off x="0" y="68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403</xdr:row>
      <xdr:rowOff>0</xdr:rowOff>
    </xdr:from>
    <xdr:ext cx="304800" cy="304800"/>
    <xdr:sp macro="" textlink="">
      <xdr:nvSpPr>
        <xdr:cNvPr id="147" name="AutoShape 12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C172DA88-C194-4DB5-909E-ADDA978A5B18}"/>
            </a:ext>
          </a:extLst>
        </xdr:cNvPr>
        <xdr:cNvSpPr>
          <a:spLocks noChangeAspect="1" noChangeArrowheads="1"/>
        </xdr:cNvSpPr>
      </xdr:nvSpPr>
      <xdr:spPr bwMode="auto">
        <a:xfrm>
          <a:off x="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403</xdr:row>
      <xdr:rowOff>0</xdr:rowOff>
    </xdr:from>
    <xdr:ext cx="304800" cy="304800"/>
    <xdr:sp macro="" textlink="">
      <xdr:nvSpPr>
        <xdr:cNvPr id="148" name="AutoShape 13" descr="data:image/jpeg;base64,/9j/4AAQSkZJRgABAQAAAQABAAD/2wCEAAkGBxIQEhUSEBIQFRUSFRUVFhAVFRAQEA8VFRUWFxUVFRUYHSggGBolGxUVITEhJSkrLi4vFx8zODMtNygtLisBCgoKDg0NDg8PDysZFRkrKysuKysrKzctKy0rKystKysrLS0rLSsrKystKysrKysrKysrKysrKysrKysrKysrK//AABEIANQA7QMBIgACEQEDEQH/xAAbAAEAAgMBAQAAAAAAAAAAAAAAAwQCBQYBB//EAEAQAAIBAgIHBQUFBgUFAAAAAAABAgMRITEEBRJBUWFxBiKBkaETMlKxwUJiwtHwFSOCktLhBzOisvEWQ1Njcv/EABYBAQEBAAAAAAAAAAAAAAAAAAABAv/EABgRAQEBAQEAAAAAAAAAAAAAAAARAUEx/9oADAMBAAIRAxEAPwD7iAAAAAAAAAAAAAAAAAAAAAAAAAAAAAAAAAAAAAAADwAAAAAAAAAAAAAAAAAAAAAAAAAAAAAAAAAAAAAAAAAAAAAAAAAAAAAAAAAAAAAAAAAAAAAAAAAAAAAAAAAAADCtUUU5SaSWLbwSQGVypX1nShg5q/Bd5+hzGtdfSqtxheMPKU+vBcjU+34FiV2/7ao8X5D9t0eMvJnEKqzP2nMQrs/27R4y8mVdI7SU17kZy8orzx+Ryjnhfd6s8vxLCujXaeW6lH+Z/OxbodoqbXfjKL4XUl5o5B1DB1OIiV2r7Q0f/Z5R/Mx/6ipcKnlD+o4KvrG3uq9s3y5LeUammSn9ptcnh6CFfR6varR45uS5PZv6Mp1e3OjRyjXl0jBL1kj5+eezJCu4n/iDR3Ua3i6a+TZjH/EGnvoVfCUH8zh3RGwIV39Lt7o7zp11z/dv8RsdF7W6JUw9rsv78ZQXm1b1Pl2yeuJYV9noaTCavCUZLjFqS80S3PitGUoO8JSi/ii3F+aOh1Z2s0ml78lVjwnhLwmsfO5ItfSgaTVHaWjpFldwm/sStj/8yyfo+RukyK9AAAAAAAAAAHjZxnajWu3P2UX3IPH78l9F8zotf6b7GjKSwk+7Hk3v8Em/A+dydy4zrPbMokMcy3BFR6kZwjfosWZRpt9Xgi3pWh7Ktwttccb4egVrpyu/1giOcyXYMfYSkpSjFtQi5S5RWbYRXdTiQVMXjP0w8CSjTdRvjZtZZpXt5Jpc2SU0nFxsm7qSe7DBq3PaT/gApVNHs05StGVnfjH4lvMKertiUr4NWw+LHZfq1ibH2N0r5x+T+ie1/MZVoXUbWy2c8ce4r+CjLyYVQdO2R5sltU04/rIi2AiDYMZQJ2jGSAg2T3YM2jG4D2ZkqZ7GRIpAYRgdDqftFVo2jNucODffivuyfyfoaREsIgfTdC0yFaO3Bpp+afBrcywfO9WaZOhLag+sfszXP8zudXafGvHaj4x3xfBmWqtgAKAAAGDxgcl2y0hucKayitp9ZYL0Xqc1KJtde1duvUfCWyv4e79L+Jr2jWJqOnTL9KmQ0IYl+MbYhFrUui7dXlBX8THXLv8AxNy8Mo+iNjqGypTldXk7Lk7WXqyjrezqNJq0UorFbkv7kVrNg6PU+hzjT2dmEVNXlKXflO6y2U7JWfHjganQ6KnOMfikl9X6JnS6DVUKdptL2bcLt5qLtHreOz5jTHz6vRdObhvhJq27B5ktOCUuCv5J5q3Qv6+gvbyklLvWlZpxeVr442eJUi72vwt5ZFTpGm8Vxw8nf5pHkoK3XDpdW/LzJV0fH6X9Dx08c3i7cLK/DiQUc3J3ed+GEscutzGSLWkUdibjhv7vJSdnyzRDOJUV5owaLM4ETiBDJIwcSfZ4nkoAQWM4Iz9mSxpgY04lmnAU6RapwAxhA2GrdJdGe0ujXxLg+e8rxgSwgRXb0aqkk4u6auiQ0HZ3SbN03v70fxL5PzN8mRp6AAAB4B870x3qTfGcv9zIYom0vCpNffl/uZHFGmU2jl6S7r6FKiXpe4+jIN7q2rFQgssb5cP72NNpc06knxbNjSa9jGz3q/Rxa/EaiXvy6hVjVGit1k4tRcVJ3ttZrZdlf7xvKWjqNa8rycoXUpWbTi+9ksMJR8jV6mls1VfepK/hf6Gy03SXLZlSV9mS77/y1tdx45v3r4cCaY0Pa2H75PjTj6SkjUQa558ssvy8i/2iqy9u4ym3spReUfeSbSS3Yriaylw5Pksipvq1F/kZ2tz5ej6MipSVvW/ksPP/AILFKnfFu0cnJ/Ti8QMNY0HCs4yxd7trBK6hglyul4FWrDE2esJudfvYO67t/dTVPPdfHHy3FGuu8+pRWnEilEnkYsCLZPVAyRmgjyNImhREEWaSC48p0SeFIzgiaKRBFGkSKkTQRIgqGn3HGePdafln6NnWRZzcldG81fPapwf3V5pWfyIqyAAB4z08YHB63p7NaovvN+Eu99Ssjd9rNHtOM19tWfWP5qX+k0cWVE9ItZplWBagyos0tJ/dqPQq72R3thwMovHqvkBPTkk02k0mrppNNJ43TOq0mClCSvnFq+5XTszky9U0y2jTnN3lDuRg7bO08IO2978fhZFc5rCvt1Zzlm5N7N8Vus3uwXUjTu+Cve27EjhHHjdJ+iJcne+OD5LDnmyoy0dWzvlglm/HcsMzYaukp1YqWXeezmvdwsuqWPK7yNbFN38bt/3Lmi1rNrc8GnhtuTjZN7le3njvII5aS6lRzfxO3RWX4UQynd3MKVS9/nxfH6mLKPZMjlMSZDOQRI6gUyCUzFTAuqqT065q/aEqqgbenpBOtINNCsTRrBW3jpBNDSEaaNczjWA3sK6N9qz/AC42yx+bOMo1sUdtoFPZpwTzsvUmriwACKAACjrfQ/bU3FZ5x6r9W8TiLNYPduPorRzuvtUtt1aa5zit/wB5LjxCbjQQZPTZXsTwKjNRx6mNeFseD/XoSJEtTFJrfgwqCMrkek0tpWf6t+mepbL2X4dCQqNZLhZLlj67zHZ45essXkbCtRvjvKMli8/HdkB5e97K3K97fmR1JJxUd6ld+KwXp+rGEqtsso7Tb+KyulyRW0ed1fj4J7sOQFmcuBg5GDke3CDZFOYnIgnID1zMdoxkYXAl2z3bIbnqYE6mSqoVosziBZjVJPbFdFjQtFlVnGEFdydrfN9OYG97N6E607v3Y2cvour+R26RV1boUaEFCO7N5OT3tlszrWYAAKAAAeNHoA1Wn6nhO8o915v4X4bjUVNWyhw8GdYQVdGjLMDlXSZ5TdnjlvN9V1PF7ynPs+90n4Nr6lRrq9JNYbsnw5MgXB5m1jqWpHKTfJu5hV1TU3L9eII1zkQaRSUlnZ8d/jxNl+yq2+C63f0RhLVdXdCXkxSOV0qlKLtNtReCSbUZdXnJ4J2eViBzsdXU1bVs06U3fdstpmo0vU7WSlHlKMkvPNdAjV7Q9oZT0ecfeWHxLFeaI3Fv89xR5OoQuRJOBG4BBzMHI92TFgeqRkmRnqAniTQRFo8JTezCMpN/ZjFyk/BYnWan7I1Jd7SHsR/8cWnUfV5R6K/gFaTQdDnWnsU4tvPgorjJ7kd/qTUsNGjh3pyS2qjzfJL7MeRb0DV9OhHYpRUVv3uT4yebZaJurmAAIoAAAAAAAAAAAAAAADyx7YADywsegCCrodOXvQg+sUzX6R2b0aedNJ/FByg/Q24A5ev2Np/Yq1FykoVF8k/Uo1uxlT7NWk+sZQ+TZ2x5YXUj59U7E6Q8p0P5qn9JjDsLpG+pRXjN/hPodhYtI4mj2CX/AHK3VRj8m2bTROxuiwxkpzf3pYeUbX8TowQiDRtEhTVqcIwXCKUU/ImSPQFAAAAAAAAAAAAAAAAAAAAAAAAAAAAAAAAAAAAAAAAAAAAAAAAAAAAAAAAAAAAAAAAAAAAAAAAAAAAAAAAAAAAAAAAAAAAAAAAAAAAAAAAAAAAAAAAAAAAAAAAAAAAAAAAf/9k=">
          <a:extLst>
            <a:ext uri="{FF2B5EF4-FFF2-40B4-BE49-F238E27FC236}">
              <a16:creationId xmlns:a16="http://schemas.microsoft.com/office/drawing/2014/main" id="{6A103E41-0542-4D69-B08A-EF326263A4FE}"/>
            </a:ext>
          </a:extLst>
        </xdr:cNvPr>
        <xdr:cNvSpPr>
          <a:spLocks noChangeAspect="1" noChangeArrowheads="1"/>
        </xdr:cNvSpPr>
      </xdr:nvSpPr>
      <xdr:spPr bwMode="auto">
        <a:xfrm>
          <a:off x="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506730</xdr:colOff>
      <xdr:row>4</xdr:row>
      <xdr:rowOff>30480</xdr:rowOff>
    </xdr:from>
    <xdr:to>
      <xdr:col>5</xdr:col>
      <xdr:colOff>453390</xdr:colOff>
      <xdr:row>5</xdr:row>
      <xdr:rowOff>152399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A482A-7BAA-43FB-865C-D91B8DB73DA6}"/>
            </a:ext>
          </a:extLst>
        </xdr:cNvPr>
        <xdr:cNvSpPr/>
      </xdr:nvSpPr>
      <xdr:spPr>
        <a:xfrm>
          <a:off x="5545455" y="754380"/>
          <a:ext cx="1108710" cy="3028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13</xdr:col>
      <xdr:colOff>506730</xdr:colOff>
      <xdr:row>4</xdr:row>
      <xdr:rowOff>30480</xdr:rowOff>
    </xdr:from>
    <xdr:to>
      <xdr:col>14</xdr:col>
      <xdr:colOff>453390</xdr:colOff>
      <xdr:row>5</xdr:row>
      <xdr:rowOff>152399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BB31ED-47CB-4F47-A9A4-A1753E6FCC2B}"/>
            </a:ext>
          </a:extLst>
        </xdr:cNvPr>
        <xdr:cNvSpPr/>
      </xdr:nvSpPr>
      <xdr:spPr>
        <a:xfrm>
          <a:off x="5549265" y="752475"/>
          <a:ext cx="1104900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3</xdr:row>
      <xdr:rowOff>9525</xdr:rowOff>
    </xdr:from>
    <xdr:to>
      <xdr:col>6</xdr:col>
      <xdr:colOff>329565</xdr:colOff>
      <xdr:row>4</xdr:row>
      <xdr:rowOff>133349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F4D190-C362-4B2C-89DA-BD925E33EE6E}"/>
            </a:ext>
          </a:extLst>
        </xdr:cNvPr>
        <xdr:cNvSpPr/>
      </xdr:nvSpPr>
      <xdr:spPr>
        <a:xfrm>
          <a:off x="5248275" y="552450"/>
          <a:ext cx="624840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12</xdr:col>
      <xdr:colOff>495300</xdr:colOff>
      <xdr:row>3</xdr:row>
      <xdr:rowOff>9525</xdr:rowOff>
    </xdr:from>
    <xdr:to>
      <xdr:col>13</xdr:col>
      <xdr:colOff>329565</xdr:colOff>
      <xdr:row>4</xdr:row>
      <xdr:rowOff>133349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1048E3-91C9-4CEE-92EE-47ED605020DA}"/>
            </a:ext>
          </a:extLst>
        </xdr:cNvPr>
        <xdr:cNvSpPr/>
      </xdr:nvSpPr>
      <xdr:spPr>
        <a:xfrm>
          <a:off x="5772150" y="554355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2</xdr:row>
      <xdr:rowOff>30480</xdr:rowOff>
    </xdr:from>
    <xdr:to>
      <xdr:col>2</xdr:col>
      <xdr:colOff>750570</xdr:colOff>
      <xdr:row>3</xdr:row>
      <xdr:rowOff>152399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BE4DD-ED44-434D-BD79-183F3F5C49C0}"/>
            </a:ext>
          </a:extLst>
        </xdr:cNvPr>
        <xdr:cNvSpPr/>
      </xdr:nvSpPr>
      <xdr:spPr>
        <a:xfrm>
          <a:off x="3188970" y="392430"/>
          <a:ext cx="628650" cy="3028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3</xdr:col>
      <xdr:colOff>619125</xdr:colOff>
      <xdr:row>4</xdr:row>
      <xdr:rowOff>123824</xdr:rowOff>
    </xdr:to>
    <xdr:sp macro="" textlink="">
      <xdr:nvSpPr>
        <xdr:cNvPr id="4" name="Prostokąt: zaokrąglone rogi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38C58-F257-4FA5-A178-96722AA48AC8}"/>
            </a:ext>
          </a:extLst>
        </xdr:cNvPr>
        <xdr:cNvSpPr/>
      </xdr:nvSpPr>
      <xdr:spPr>
        <a:xfrm>
          <a:off x="327660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621030</xdr:colOff>
      <xdr:row>38</xdr:row>
      <xdr:rowOff>125729</xdr:rowOff>
    </xdr:to>
    <xdr:sp macro="" textlink="">
      <xdr:nvSpPr>
        <xdr:cNvPr id="5" name="Prostokąt: zaokrąglone rogi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EC71-9B87-4984-A4CC-6A9A466ECF0B}"/>
            </a:ext>
          </a:extLst>
        </xdr:cNvPr>
        <xdr:cNvSpPr/>
      </xdr:nvSpPr>
      <xdr:spPr>
        <a:xfrm>
          <a:off x="3352800" y="6153150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10</xdr:col>
      <xdr:colOff>5715</xdr:colOff>
      <xdr:row>38</xdr:row>
      <xdr:rowOff>5715</xdr:rowOff>
    </xdr:from>
    <xdr:to>
      <xdr:col>10</xdr:col>
      <xdr:colOff>609600</xdr:colOff>
      <xdr:row>39</xdr:row>
      <xdr:rowOff>127634</xdr:rowOff>
    </xdr:to>
    <xdr:sp macro="" textlink="">
      <xdr:nvSpPr>
        <xdr:cNvPr id="6" name="Prostokąt: zaokrąglone rogi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70DC2F-5C3A-4E7C-BC8E-758D3C674072}"/>
            </a:ext>
          </a:extLst>
        </xdr:cNvPr>
        <xdr:cNvSpPr/>
      </xdr:nvSpPr>
      <xdr:spPr>
        <a:xfrm>
          <a:off x="11635740" y="6882765"/>
          <a:ext cx="603885" cy="3028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5715</xdr:colOff>
      <xdr:row>79</xdr:row>
      <xdr:rowOff>5715</xdr:rowOff>
    </xdr:from>
    <xdr:to>
      <xdr:col>2</xdr:col>
      <xdr:colOff>609600</xdr:colOff>
      <xdr:row>80</xdr:row>
      <xdr:rowOff>127634</xdr:rowOff>
    </xdr:to>
    <xdr:sp macro="" textlink="">
      <xdr:nvSpPr>
        <xdr:cNvPr id="8" name="Prostokąt: zaokrąglone rogi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E49CF0-A5CF-4350-BF7F-27BF7069569F}"/>
            </a:ext>
          </a:extLst>
        </xdr:cNvPr>
        <xdr:cNvSpPr/>
      </xdr:nvSpPr>
      <xdr:spPr>
        <a:xfrm>
          <a:off x="11637645" y="6884670"/>
          <a:ext cx="601980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2</xdr:row>
      <xdr:rowOff>9525</xdr:rowOff>
    </xdr:from>
    <xdr:to>
      <xdr:col>3</xdr:col>
      <xdr:colOff>329565</xdr:colOff>
      <xdr:row>3</xdr:row>
      <xdr:rowOff>137159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842C8-06E7-4CB2-A163-E8CFA1935022}"/>
            </a:ext>
          </a:extLst>
        </xdr:cNvPr>
        <xdr:cNvSpPr/>
      </xdr:nvSpPr>
      <xdr:spPr>
        <a:xfrm>
          <a:off x="3714750" y="371475"/>
          <a:ext cx="624840" cy="308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12</xdr:col>
      <xdr:colOff>323850</xdr:colOff>
      <xdr:row>2</xdr:row>
      <xdr:rowOff>0</xdr:rowOff>
    </xdr:from>
    <xdr:to>
      <xdr:col>13</xdr:col>
      <xdr:colOff>342900</xdr:colOff>
      <xdr:row>3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07BD42-2793-4761-BC93-DEC8D31284A3}"/>
            </a:ext>
          </a:extLst>
        </xdr:cNvPr>
        <xdr:cNvSpPr/>
      </xdr:nvSpPr>
      <xdr:spPr>
        <a:xfrm>
          <a:off x="12153900" y="361950"/>
          <a:ext cx="628650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923925</xdr:colOff>
      <xdr:row>33</xdr:row>
      <xdr:rowOff>15240</xdr:rowOff>
    </xdr:from>
    <xdr:to>
      <xdr:col>3</xdr:col>
      <xdr:colOff>320040</xdr:colOff>
      <xdr:row>34</xdr:row>
      <xdr:rowOff>142874</xdr:rowOff>
    </xdr:to>
    <xdr:sp macro="" textlink="">
      <xdr:nvSpPr>
        <xdr:cNvPr id="4" name="Prostokąt: zaokrąglone rogi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8E3711-4806-43BF-9F81-34BD1DC0C56A}"/>
            </a:ext>
          </a:extLst>
        </xdr:cNvPr>
        <xdr:cNvSpPr/>
      </xdr:nvSpPr>
      <xdr:spPr>
        <a:xfrm>
          <a:off x="3705225" y="5987415"/>
          <a:ext cx="624840" cy="308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9525</xdr:colOff>
      <xdr:row>3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90F8A-D0EC-47D3-B38C-95CC74D5F527}"/>
            </a:ext>
          </a:extLst>
        </xdr:cNvPr>
        <xdr:cNvSpPr/>
      </xdr:nvSpPr>
      <xdr:spPr>
        <a:xfrm>
          <a:off x="4819650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9</xdr:col>
      <xdr:colOff>619125</xdr:colOff>
      <xdr:row>3</xdr:row>
      <xdr:rowOff>123824</xdr:rowOff>
    </xdr:to>
    <xdr:sp macro="" textlink="">
      <xdr:nvSpPr>
        <xdr:cNvPr id="4" name="Prostokąt: zaokrąglone rogi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3D3412-5543-46E9-836B-E7E14FF1AD53}"/>
            </a:ext>
          </a:extLst>
        </xdr:cNvPr>
        <xdr:cNvSpPr/>
      </xdr:nvSpPr>
      <xdr:spPr>
        <a:xfrm>
          <a:off x="12725400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619125</xdr:colOff>
      <xdr:row>3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559B5-4EF9-4A3B-AC98-E1454FEBFA01}"/>
            </a:ext>
          </a:extLst>
        </xdr:cNvPr>
        <xdr:cNvSpPr/>
      </xdr:nvSpPr>
      <xdr:spPr>
        <a:xfrm>
          <a:off x="4229100" y="97155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619125</xdr:colOff>
      <xdr:row>43</xdr:row>
      <xdr:rowOff>123824</xdr:rowOff>
    </xdr:to>
    <xdr:sp macro="" textlink="">
      <xdr:nvSpPr>
        <xdr:cNvPr id="5" name="Prostokąt: zaokrąglone rogi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5E6807-B0B5-4986-8303-0A6F8C51234F}"/>
            </a:ext>
          </a:extLst>
        </xdr:cNvPr>
        <xdr:cNvSpPr/>
      </xdr:nvSpPr>
      <xdr:spPr>
        <a:xfrm>
          <a:off x="4229100" y="5362575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1</xdr:row>
      <xdr:rowOff>19050</xdr:rowOff>
    </xdr:from>
    <xdr:to>
      <xdr:col>7</xdr:col>
      <xdr:colOff>329565</xdr:colOff>
      <xdr:row>2</xdr:row>
      <xdr:rowOff>146684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B82E1-A82F-44AA-BD48-F34AD2F06727}"/>
            </a:ext>
          </a:extLst>
        </xdr:cNvPr>
        <xdr:cNvSpPr/>
      </xdr:nvSpPr>
      <xdr:spPr>
        <a:xfrm>
          <a:off x="6915150" y="200025"/>
          <a:ext cx="624840" cy="308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619125</xdr:colOff>
      <xdr:row>2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61299-24B5-4265-B371-A775CD6E4B4A}"/>
            </a:ext>
          </a:extLst>
        </xdr:cNvPr>
        <xdr:cNvSpPr/>
      </xdr:nvSpPr>
      <xdr:spPr>
        <a:xfrm>
          <a:off x="3867150" y="190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152400</xdr:colOff>
      <xdr:row>56</xdr:row>
      <xdr:rowOff>26671</xdr:rowOff>
    </xdr:from>
    <xdr:to>
      <xdr:col>2</xdr:col>
      <xdr:colOff>781050</xdr:colOff>
      <xdr:row>57</xdr:row>
      <xdr:rowOff>123826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B25BCF-B055-4244-9234-68D263444ECA}"/>
            </a:ext>
          </a:extLst>
        </xdr:cNvPr>
        <xdr:cNvSpPr/>
      </xdr:nvSpPr>
      <xdr:spPr>
        <a:xfrm>
          <a:off x="4267200" y="10237471"/>
          <a:ext cx="628650" cy="2781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619125</xdr:colOff>
      <xdr:row>4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0C5B03-4F00-4E6B-BFEE-30EBB2B00C79}"/>
            </a:ext>
          </a:extLst>
        </xdr:cNvPr>
        <xdr:cNvSpPr/>
      </xdr:nvSpPr>
      <xdr:spPr>
        <a:xfrm>
          <a:off x="4295775" y="762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619125</xdr:colOff>
      <xdr:row>54</xdr:row>
      <xdr:rowOff>123824</xdr:rowOff>
    </xdr:to>
    <xdr:sp macro="" textlink="">
      <xdr:nvSpPr>
        <xdr:cNvPr id="4" name="Prostokąt: zaokrąglone rogi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EC3DE2-3072-4DCA-B83A-ED48E548868D}"/>
            </a:ext>
          </a:extLst>
        </xdr:cNvPr>
        <xdr:cNvSpPr/>
      </xdr:nvSpPr>
      <xdr:spPr>
        <a:xfrm>
          <a:off x="5162550" y="723900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619125</xdr:colOff>
      <xdr:row>4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0B597-AA11-4D18-817B-A39EBDE912BB}"/>
            </a:ext>
          </a:extLst>
        </xdr:cNvPr>
        <xdr:cNvSpPr/>
      </xdr:nvSpPr>
      <xdr:spPr>
        <a:xfrm>
          <a:off x="430530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619125</xdr:colOff>
      <xdr:row>56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F35AB4-DB0F-4171-BAC3-036FD822343C}"/>
            </a:ext>
          </a:extLst>
        </xdr:cNvPr>
        <xdr:cNvSpPr/>
      </xdr:nvSpPr>
      <xdr:spPr>
        <a:xfrm>
          <a:off x="4438650" y="542925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161925</xdr:rowOff>
    </xdr:from>
    <xdr:to>
      <xdr:col>6</xdr:col>
      <xdr:colOff>0</xdr:colOff>
      <xdr:row>3</xdr:row>
      <xdr:rowOff>95249</xdr:rowOff>
    </xdr:to>
    <xdr:sp macro="" textlink="">
      <xdr:nvSpPr>
        <xdr:cNvPr id="4" name="Prostokąt: zaokrąglone rogi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D2B4D-00D9-4BE2-8994-687971277BFD}"/>
            </a:ext>
          </a:extLst>
        </xdr:cNvPr>
        <xdr:cNvSpPr/>
      </xdr:nvSpPr>
      <xdr:spPr>
        <a:xfrm>
          <a:off x="8048625" y="352425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5</xdr:col>
      <xdr:colOff>9525</xdr:colOff>
      <xdr:row>48</xdr:row>
      <xdr:rowOff>161925</xdr:rowOff>
    </xdr:from>
    <xdr:to>
      <xdr:col>6</xdr:col>
      <xdr:colOff>0</xdr:colOff>
      <xdr:row>50</xdr:row>
      <xdr:rowOff>95249</xdr:rowOff>
    </xdr:to>
    <xdr:sp macro="" textlink="">
      <xdr:nvSpPr>
        <xdr:cNvPr id="6" name="Prostokąt: zaokrąglone rogi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E7CA84-12A4-4181-9DAB-A30964ED5D0C}"/>
            </a:ext>
          </a:extLst>
        </xdr:cNvPr>
        <xdr:cNvSpPr/>
      </xdr:nvSpPr>
      <xdr:spPr>
        <a:xfrm>
          <a:off x="7098030" y="344805"/>
          <a:ext cx="712470" cy="29717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20</xdr:col>
      <xdr:colOff>9525</xdr:colOff>
      <xdr:row>48</xdr:row>
      <xdr:rowOff>161925</xdr:rowOff>
    </xdr:from>
    <xdr:to>
      <xdr:col>21</xdr:col>
      <xdr:colOff>0</xdr:colOff>
      <xdr:row>50</xdr:row>
      <xdr:rowOff>95249</xdr:rowOff>
    </xdr:to>
    <xdr:sp macro="" textlink="">
      <xdr:nvSpPr>
        <xdr:cNvPr id="7" name="Prostokąt: zaokrąglone rogi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E6D124-0027-4DF7-B3D0-0A40499F3E93}"/>
            </a:ext>
          </a:extLst>
        </xdr:cNvPr>
        <xdr:cNvSpPr/>
      </xdr:nvSpPr>
      <xdr:spPr>
        <a:xfrm>
          <a:off x="7098030" y="8850630"/>
          <a:ext cx="712470" cy="29717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44</xdr:row>
      <xdr:rowOff>133350</xdr:rowOff>
    </xdr:from>
    <xdr:to>
      <xdr:col>16</xdr:col>
      <xdr:colOff>20955</xdr:colOff>
      <xdr:row>46</xdr:row>
      <xdr:rowOff>78104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642D8-DEBB-465B-ACC9-BB517BA8FFDA}"/>
            </a:ext>
          </a:extLst>
        </xdr:cNvPr>
        <xdr:cNvSpPr/>
      </xdr:nvSpPr>
      <xdr:spPr>
        <a:xfrm>
          <a:off x="18630900" y="8096250"/>
          <a:ext cx="64008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66675</xdr:colOff>
      <xdr:row>45</xdr:row>
      <xdr:rowOff>133350</xdr:rowOff>
    </xdr:from>
    <xdr:to>
      <xdr:col>2</xdr:col>
      <xdr:colOff>687705</xdr:colOff>
      <xdr:row>47</xdr:row>
      <xdr:rowOff>78104</xdr:rowOff>
    </xdr:to>
    <xdr:sp macro="" textlink="">
      <xdr:nvSpPr>
        <xdr:cNvPr id="6" name="Prostokąt: zaokrąglone rogi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63BCDD-03F9-4D78-8135-EF99A10A7A8F}"/>
            </a:ext>
          </a:extLst>
        </xdr:cNvPr>
        <xdr:cNvSpPr/>
      </xdr:nvSpPr>
      <xdr:spPr>
        <a:xfrm>
          <a:off x="4781550" y="8096250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8</xdr:col>
      <xdr:colOff>0</xdr:colOff>
      <xdr:row>2</xdr:row>
      <xdr:rowOff>0</xdr:rowOff>
    </xdr:from>
    <xdr:to>
      <xdr:col>8</xdr:col>
      <xdr:colOff>619125</xdr:colOff>
      <xdr:row>3</xdr:row>
      <xdr:rowOff>123824</xdr:rowOff>
    </xdr:to>
    <xdr:sp macro="" textlink="">
      <xdr:nvSpPr>
        <xdr:cNvPr id="13" name="Prostokąt: zaokrąglone rogi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98B4C5-65DB-49C6-A97D-4294E4434E72}"/>
            </a:ext>
          </a:extLst>
        </xdr:cNvPr>
        <xdr:cNvSpPr/>
      </xdr:nvSpPr>
      <xdr:spPr>
        <a:xfrm>
          <a:off x="10525125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619125</xdr:colOff>
      <xdr:row>3</xdr:row>
      <xdr:rowOff>123824</xdr:rowOff>
    </xdr:to>
    <xdr:sp macro="" textlink="">
      <xdr:nvSpPr>
        <xdr:cNvPr id="16" name="Prostokąt: zaokrąglone rogi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9497A9-313F-4A35-867B-3E9947B7239B}"/>
            </a:ext>
          </a:extLst>
        </xdr:cNvPr>
        <xdr:cNvSpPr/>
      </xdr:nvSpPr>
      <xdr:spPr>
        <a:xfrm>
          <a:off x="4581525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14</xdr:col>
      <xdr:colOff>0</xdr:colOff>
      <xdr:row>2</xdr:row>
      <xdr:rowOff>0</xdr:rowOff>
    </xdr:from>
    <xdr:to>
      <xdr:col>15</xdr:col>
      <xdr:colOff>9525</xdr:colOff>
      <xdr:row>3</xdr:row>
      <xdr:rowOff>123824</xdr:rowOff>
    </xdr:to>
    <xdr:sp macro="" textlink="">
      <xdr:nvSpPr>
        <xdr:cNvPr id="18" name="Prostokąt: zaokrąglone rogi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3CC2A2-92E1-4FD1-9EB9-8950F75CA9C0}"/>
            </a:ext>
          </a:extLst>
        </xdr:cNvPr>
        <xdr:cNvSpPr/>
      </xdr:nvSpPr>
      <xdr:spPr>
        <a:xfrm>
          <a:off x="15925800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20</xdr:col>
      <xdr:colOff>133350</xdr:colOff>
      <xdr:row>1</xdr:row>
      <xdr:rowOff>171450</xdr:rowOff>
    </xdr:from>
    <xdr:to>
      <xdr:col>20</xdr:col>
      <xdr:colOff>773430</xdr:colOff>
      <xdr:row>3</xdr:row>
      <xdr:rowOff>116204</xdr:rowOff>
    </xdr:to>
    <xdr:sp macro="" textlink="">
      <xdr:nvSpPr>
        <xdr:cNvPr id="20" name="Prostokąt: zaokrąglone rogi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8D3E73-716C-4F27-982A-CD14C8260F4C}"/>
            </a:ext>
          </a:extLst>
        </xdr:cNvPr>
        <xdr:cNvSpPr/>
      </xdr:nvSpPr>
      <xdr:spPr>
        <a:xfrm>
          <a:off x="24974550" y="352425"/>
          <a:ext cx="64008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8</xdr:col>
      <xdr:colOff>85725</xdr:colOff>
      <xdr:row>44</xdr:row>
      <xdr:rowOff>133350</xdr:rowOff>
    </xdr:from>
    <xdr:to>
      <xdr:col>8</xdr:col>
      <xdr:colOff>710565</xdr:colOff>
      <xdr:row>46</xdr:row>
      <xdr:rowOff>80009</xdr:rowOff>
    </xdr:to>
    <xdr:sp macro="" textlink="">
      <xdr:nvSpPr>
        <xdr:cNvPr id="8" name="Prostokąt: zaokrąglone rogi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5F0410-F2E7-4AC3-98AD-EEA070A41198}"/>
            </a:ext>
          </a:extLst>
        </xdr:cNvPr>
        <xdr:cNvSpPr/>
      </xdr:nvSpPr>
      <xdr:spPr>
        <a:xfrm>
          <a:off x="11677650" y="8096250"/>
          <a:ext cx="624840" cy="308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283845</xdr:colOff>
      <xdr:row>1</xdr:row>
      <xdr:rowOff>24765</xdr:rowOff>
    </xdr:from>
    <xdr:to>
      <xdr:col>2</xdr:col>
      <xdr:colOff>912495</xdr:colOff>
      <xdr:row>2</xdr:row>
      <xdr:rowOff>154304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BBE61-A113-4028-9E82-CE78F8E6B5EE}"/>
            </a:ext>
          </a:extLst>
        </xdr:cNvPr>
        <xdr:cNvSpPr/>
      </xdr:nvSpPr>
      <xdr:spPr>
        <a:xfrm>
          <a:off x="4760595" y="205740"/>
          <a:ext cx="628650" cy="310514"/>
        </a:xfrm>
        <a:prstGeom prst="roundRect">
          <a:avLst>
            <a:gd name="adj" fmla="val 1356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8</xdr:col>
      <xdr:colOff>293370</xdr:colOff>
      <xdr:row>1</xdr:row>
      <xdr:rowOff>24765</xdr:rowOff>
    </xdr:from>
    <xdr:to>
      <xdr:col>8</xdr:col>
      <xdr:colOff>922020</xdr:colOff>
      <xdr:row>2</xdr:row>
      <xdr:rowOff>154304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0330EB-D0BC-41DC-A04F-1C904CE127C5}"/>
            </a:ext>
          </a:extLst>
        </xdr:cNvPr>
        <xdr:cNvSpPr/>
      </xdr:nvSpPr>
      <xdr:spPr>
        <a:xfrm>
          <a:off x="11828145" y="205740"/>
          <a:ext cx="628650" cy="310514"/>
        </a:xfrm>
        <a:prstGeom prst="roundRect">
          <a:avLst>
            <a:gd name="adj" fmla="val 1356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14</xdr:col>
      <xdr:colOff>333375</xdr:colOff>
      <xdr:row>1</xdr:row>
      <xdr:rowOff>19050</xdr:rowOff>
    </xdr:from>
    <xdr:to>
      <xdr:col>14</xdr:col>
      <xdr:colOff>958215</xdr:colOff>
      <xdr:row>2</xdr:row>
      <xdr:rowOff>146684</xdr:rowOff>
    </xdr:to>
    <xdr:sp macro="" textlink="">
      <xdr:nvSpPr>
        <xdr:cNvPr id="5" name="Prostokąt: zaokrąglone rogi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F381A1-E5A0-47DF-A185-8F2B9F8E177E}"/>
            </a:ext>
          </a:extLst>
        </xdr:cNvPr>
        <xdr:cNvSpPr/>
      </xdr:nvSpPr>
      <xdr:spPr>
        <a:xfrm>
          <a:off x="12561570" y="196215"/>
          <a:ext cx="628650" cy="310514"/>
        </a:xfrm>
        <a:prstGeom prst="roundRect">
          <a:avLst>
            <a:gd name="adj" fmla="val 1356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619125</xdr:colOff>
      <xdr:row>3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0E0B1-AA9D-43CE-B085-576378DC4BFD}"/>
            </a:ext>
          </a:extLst>
        </xdr:cNvPr>
        <xdr:cNvSpPr/>
      </xdr:nvSpPr>
      <xdr:spPr>
        <a:xfrm>
          <a:off x="3114675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619125</xdr:colOff>
      <xdr:row>2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FB614-EE31-417A-99F6-402788D9FC74}"/>
            </a:ext>
          </a:extLst>
        </xdr:cNvPr>
        <xdr:cNvSpPr/>
      </xdr:nvSpPr>
      <xdr:spPr>
        <a:xfrm>
          <a:off x="3209925" y="361950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9525</xdr:colOff>
      <xdr:row>4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D1A72-7BFB-44D3-AA54-61736D23BD1A}"/>
            </a:ext>
          </a:extLst>
        </xdr:cNvPr>
        <xdr:cNvSpPr/>
      </xdr:nvSpPr>
      <xdr:spPr>
        <a:xfrm>
          <a:off x="247650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9525</xdr:colOff>
      <xdr:row>4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820EB3-3EF1-444D-96B9-229AC605E1AF}"/>
            </a:ext>
          </a:extLst>
        </xdr:cNvPr>
        <xdr:cNvSpPr/>
      </xdr:nvSpPr>
      <xdr:spPr>
        <a:xfrm>
          <a:off x="3895725" y="723900"/>
          <a:ext cx="62103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</xdr:row>
      <xdr:rowOff>123826</xdr:rowOff>
    </xdr:from>
    <xdr:to>
      <xdr:col>7</xdr:col>
      <xdr:colOff>714375</xdr:colOff>
      <xdr:row>3</xdr:row>
      <xdr:rowOff>57150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F50BA-9F64-4538-A11A-C0F24BEF9A29}"/>
            </a:ext>
          </a:extLst>
        </xdr:cNvPr>
        <xdr:cNvSpPr/>
      </xdr:nvSpPr>
      <xdr:spPr>
        <a:xfrm>
          <a:off x="8429625" y="314326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619125</xdr:colOff>
      <xdr:row>3</xdr:row>
      <xdr:rowOff>123824</xdr:rowOff>
    </xdr:to>
    <xdr:sp macro="" textlink="">
      <xdr:nvSpPr>
        <xdr:cNvPr id="5" name="Prostokąt: zaokrąglone rogi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202F28-AE14-448C-AAF6-7F76D0B63F53}"/>
            </a:ext>
          </a:extLst>
        </xdr:cNvPr>
        <xdr:cNvSpPr/>
      </xdr:nvSpPr>
      <xdr:spPr>
        <a:xfrm>
          <a:off x="3581400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12</xdr:col>
      <xdr:colOff>0</xdr:colOff>
      <xdr:row>2</xdr:row>
      <xdr:rowOff>0</xdr:rowOff>
    </xdr:from>
    <xdr:to>
      <xdr:col>13</xdr:col>
      <xdr:colOff>9525</xdr:colOff>
      <xdr:row>3</xdr:row>
      <xdr:rowOff>123824</xdr:rowOff>
    </xdr:to>
    <xdr:sp macro="" textlink="">
      <xdr:nvSpPr>
        <xdr:cNvPr id="8" name="Prostokąt: zaokrąglone rogi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E863BB-2AC1-48E8-BFD9-F84051E8061C}"/>
            </a:ext>
          </a:extLst>
        </xdr:cNvPr>
        <xdr:cNvSpPr/>
      </xdr:nvSpPr>
      <xdr:spPr>
        <a:xfrm>
          <a:off x="13344525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459105</xdr:colOff>
      <xdr:row>2</xdr:row>
      <xdr:rowOff>26670</xdr:rowOff>
    </xdr:from>
    <xdr:to>
      <xdr:col>3</xdr:col>
      <xdr:colOff>300990</xdr:colOff>
      <xdr:row>3</xdr:row>
      <xdr:rowOff>152399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402F3-1545-43F1-9858-0FB680A4D805}"/>
            </a:ext>
          </a:extLst>
        </xdr:cNvPr>
        <xdr:cNvSpPr/>
      </xdr:nvSpPr>
      <xdr:spPr>
        <a:xfrm>
          <a:off x="4040505" y="388620"/>
          <a:ext cx="61341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4</xdr:col>
      <xdr:colOff>9525</xdr:colOff>
      <xdr:row>5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BB6E57-7F50-4805-8901-6AB6075287D3}"/>
            </a:ext>
          </a:extLst>
        </xdr:cNvPr>
        <xdr:cNvSpPr/>
      </xdr:nvSpPr>
      <xdr:spPr>
        <a:xfrm>
          <a:off x="3800475" y="762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9525</xdr:colOff>
      <xdr:row>4</xdr:row>
      <xdr:rowOff>123824</xdr:rowOff>
    </xdr:to>
    <xdr:sp macro="" textlink="">
      <xdr:nvSpPr>
        <xdr:cNvPr id="3" name="Prostokąt: zaokrąglone rogi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F7695-7F55-411E-B3A9-02A187727182}"/>
            </a:ext>
          </a:extLst>
        </xdr:cNvPr>
        <xdr:cNvSpPr/>
      </xdr:nvSpPr>
      <xdr:spPr>
        <a:xfrm>
          <a:off x="3876675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10</xdr:col>
      <xdr:colOff>9525</xdr:colOff>
      <xdr:row>4</xdr:row>
      <xdr:rowOff>123824</xdr:rowOff>
    </xdr:to>
    <xdr:sp macro="" textlink="">
      <xdr:nvSpPr>
        <xdr:cNvPr id="4" name="Prostokąt: zaokrąglone rogi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1B9A8C-1924-499D-9FEE-39B6A3720F61}"/>
            </a:ext>
          </a:extLst>
        </xdr:cNvPr>
        <xdr:cNvSpPr/>
      </xdr:nvSpPr>
      <xdr:spPr>
        <a:xfrm>
          <a:off x="10944225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619125</xdr:colOff>
      <xdr:row>3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CD13C-87F6-44C6-BF7D-42D1652208A0}"/>
            </a:ext>
          </a:extLst>
        </xdr:cNvPr>
        <xdr:cNvSpPr/>
      </xdr:nvSpPr>
      <xdr:spPr>
        <a:xfrm>
          <a:off x="2009775" y="3810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9</xdr:col>
      <xdr:colOff>7620</xdr:colOff>
      <xdr:row>2</xdr:row>
      <xdr:rowOff>7620</xdr:rowOff>
    </xdr:from>
    <xdr:to>
      <xdr:col>10</xdr:col>
      <xdr:colOff>26670</xdr:colOff>
      <xdr:row>3</xdr:row>
      <xdr:rowOff>133349</xdr:rowOff>
    </xdr:to>
    <xdr:sp macro="" textlink="">
      <xdr:nvSpPr>
        <xdr:cNvPr id="3" name="Prostokąt: zaokrąglone rogi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F5BCF-EDAB-426A-B267-6D37625DCB8F}"/>
            </a:ext>
          </a:extLst>
        </xdr:cNvPr>
        <xdr:cNvSpPr/>
      </xdr:nvSpPr>
      <xdr:spPr>
        <a:xfrm>
          <a:off x="11713845" y="369570"/>
          <a:ext cx="628650" cy="3067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9525</xdr:colOff>
      <xdr:row>4</xdr:row>
      <xdr:rowOff>123824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44D28-71EB-4F39-A6B3-6BBBC61DD3D4}"/>
            </a:ext>
          </a:extLst>
        </xdr:cNvPr>
        <xdr:cNvSpPr/>
      </xdr:nvSpPr>
      <xdr:spPr>
        <a:xfrm>
          <a:off x="285750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10</xdr:col>
      <xdr:colOff>85725</xdr:colOff>
      <xdr:row>4</xdr:row>
      <xdr:rowOff>123824</xdr:rowOff>
    </xdr:to>
    <xdr:sp macro="" textlink="">
      <xdr:nvSpPr>
        <xdr:cNvPr id="5" name="Prostokąt: zaokrąglone rogi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3F3FAF-D59C-4E52-A32F-2986B1464532}"/>
            </a:ext>
          </a:extLst>
        </xdr:cNvPr>
        <xdr:cNvSpPr/>
      </xdr:nvSpPr>
      <xdr:spPr>
        <a:xfrm>
          <a:off x="10067925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9525</xdr:colOff>
      <xdr:row>4</xdr:row>
      <xdr:rowOff>123824</xdr:rowOff>
    </xdr:to>
    <xdr:sp macro="" textlink="">
      <xdr:nvSpPr>
        <xdr:cNvPr id="7" name="Prostokąt: zaokrąglone rogi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D4377A-CA0B-4E11-A489-BD4ABA41081A}"/>
            </a:ext>
          </a:extLst>
        </xdr:cNvPr>
        <xdr:cNvSpPr/>
      </xdr:nvSpPr>
      <xdr:spPr>
        <a:xfrm>
          <a:off x="1716405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23</xdr:col>
      <xdr:colOff>0</xdr:colOff>
      <xdr:row>3</xdr:row>
      <xdr:rowOff>0</xdr:rowOff>
    </xdr:from>
    <xdr:to>
      <xdr:col>24</xdr:col>
      <xdr:colOff>9525</xdr:colOff>
      <xdr:row>4</xdr:row>
      <xdr:rowOff>123824</xdr:rowOff>
    </xdr:to>
    <xdr:sp macro="" textlink="">
      <xdr:nvSpPr>
        <xdr:cNvPr id="9" name="Prostokąt: zaokrąglone rogi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C057FE-F7E8-4535-9AFA-805DB8D2BF2E}"/>
            </a:ext>
          </a:extLst>
        </xdr:cNvPr>
        <xdr:cNvSpPr/>
      </xdr:nvSpPr>
      <xdr:spPr>
        <a:xfrm>
          <a:off x="23355300" y="571500"/>
          <a:ext cx="619125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</xdr:col>
      <xdr:colOff>7620</xdr:colOff>
      <xdr:row>38</xdr:row>
      <xdr:rowOff>179070</xdr:rowOff>
    </xdr:from>
    <xdr:to>
      <xdr:col>3</xdr:col>
      <xdr:colOff>20955</xdr:colOff>
      <xdr:row>40</xdr:row>
      <xdr:rowOff>125729</xdr:rowOff>
    </xdr:to>
    <xdr:sp macro="" textlink="">
      <xdr:nvSpPr>
        <xdr:cNvPr id="6" name="Prostokąt: zaokrąglone rogi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0308BE-6E53-4585-8060-05139C9F155D}"/>
            </a:ext>
          </a:extLst>
        </xdr:cNvPr>
        <xdr:cNvSpPr/>
      </xdr:nvSpPr>
      <xdr:spPr>
        <a:xfrm>
          <a:off x="2941320" y="5970270"/>
          <a:ext cx="622935" cy="308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15</xdr:col>
      <xdr:colOff>1459230</xdr:colOff>
      <xdr:row>38</xdr:row>
      <xdr:rowOff>129540</xdr:rowOff>
    </xdr:from>
    <xdr:to>
      <xdr:col>16</xdr:col>
      <xdr:colOff>382905</xdr:colOff>
      <xdr:row>40</xdr:row>
      <xdr:rowOff>57150</xdr:rowOff>
    </xdr:to>
    <xdr:sp macro="" textlink="">
      <xdr:nvSpPr>
        <xdr:cNvPr id="8" name="Prostokąt: zaokrąglone rogi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13EDE-D774-4EBB-8BC7-C6490B155F7C}"/>
            </a:ext>
          </a:extLst>
        </xdr:cNvPr>
        <xdr:cNvSpPr/>
      </xdr:nvSpPr>
      <xdr:spPr>
        <a:xfrm>
          <a:off x="17937480" y="7006590"/>
          <a:ext cx="695325" cy="289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</xdr:colOff>
      <xdr:row>0</xdr:row>
      <xdr:rowOff>177165</xdr:rowOff>
    </xdr:from>
    <xdr:to>
      <xdr:col>4</xdr:col>
      <xdr:colOff>247650</xdr:colOff>
      <xdr:row>2</xdr:row>
      <xdr:rowOff>118109</xdr:rowOff>
    </xdr:to>
    <xdr:sp macro="" textlink="">
      <xdr:nvSpPr>
        <xdr:cNvPr id="6" name="Prostokąt: zaokrąglone rogi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083A6-DA61-41A3-8FE7-3F03B9BE894F}"/>
            </a:ext>
          </a:extLst>
        </xdr:cNvPr>
        <xdr:cNvSpPr/>
      </xdr:nvSpPr>
      <xdr:spPr>
        <a:xfrm>
          <a:off x="3453765" y="2529840"/>
          <a:ext cx="756285" cy="3028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140971</xdr:rowOff>
    </xdr:from>
    <xdr:to>
      <xdr:col>2</xdr:col>
      <xdr:colOff>733425</xdr:colOff>
      <xdr:row>3</xdr:row>
      <xdr:rowOff>64771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448C-8D1D-4269-A131-33F0FF2293B4}"/>
            </a:ext>
          </a:extLst>
        </xdr:cNvPr>
        <xdr:cNvSpPr/>
      </xdr:nvSpPr>
      <xdr:spPr>
        <a:xfrm>
          <a:off x="3655695" y="321946"/>
          <a:ext cx="64960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8</xdr:col>
      <xdr:colOff>83820</xdr:colOff>
      <xdr:row>1</xdr:row>
      <xdr:rowOff>140971</xdr:rowOff>
    </xdr:from>
    <xdr:to>
      <xdr:col>8</xdr:col>
      <xdr:colOff>733425</xdr:colOff>
      <xdr:row>3</xdr:row>
      <xdr:rowOff>64771</xdr:rowOff>
    </xdr:to>
    <xdr:sp macro="" textlink="">
      <xdr:nvSpPr>
        <xdr:cNvPr id="4" name="Prostokąt: zaokrąglone rogi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CFCFDE-8688-4F5D-91AE-8D149B994736}"/>
            </a:ext>
          </a:extLst>
        </xdr:cNvPr>
        <xdr:cNvSpPr/>
      </xdr:nvSpPr>
      <xdr:spPr>
        <a:xfrm>
          <a:off x="3657600" y="320041"/>
          <a:ext cx="64960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140971</xdr:rowOff>
    </xdr:from>
    <xdr:to>
      <xdr:col>2</xdr:col>
      <xdr:colOff>733425</xdr:colOff>
      <xdr:row>3</xdr:row>
      <xdr:rowOff>64771</xdr:rowOff>
    </xdr:to>
    <xdr:sp macro="" textlink="">
      <xdr:nvSpPr>
        <xdr:cNvPr id="2" name="Prostokąt: zaokrąglone rogi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D64EE-E510-4B02-A25C-1E162A57A364}"/>
            </a:ext>
          </a:extLst>
        </xdr:cNvPr>
        <xdr:cNvSpPr/>
      </xdr:nvSpPr>
      <xdr:spPr>
        <a:xfrm>
          <a:off x="3724275" y="320041"/>
          <a:ext cx="64960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  <xdr:twoCellAnchor>
    <xdr:from>
      <xdr:col>20</xdr:col>
      <xdr:colOff>83820</xdr:colOff>
      <xdr:row>1</xdr:row>
      <xdr:rowOff>140971</xdr:rowOff>
    </xdr:from>
    <xdr:to>
      <xdr:col>20</xdr:col>
      <xdr:colOff>733425</xdr:colOff>
      <xdr:row>3</xdr:row>
      <xdr:rowOff>64771</xdr:rowOff>
    </xdr:to>
    <xdr:sp macro="" textlink="">
      <xdr:nvSpPr>
        <xdr:cNvPr id="4" name="Prostokąt: zaokrąglone rogi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DE4739-B526-4835-BBD3-3F2B4122DAA9}"/>
            </a:ext>
          </a:extLst>
        </xdr:cNvPr>
        <xdr:cNvSpPr/>
      </xdr:nvSpPr>
      <xdr:spPr>
        <a:xfrm>
          <a:off x="3143250" y="320041"/>
          <a:ext cx="64960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/>
            <a:t>Cennik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9"/>
  <sheetViews>
    <sheetView showGridLines="0" tabSelected="1" zoomScaleNormal="100" workbookViewId="0">
      <pane ySplit="2" topLeftCell="A3" activePane="bottomLeft" state="frozen"/>
      <selection pane="bottomLeft" activeCell="J19" sqref="J19"/>
    </sheetView>
  </sheetViews>
  <sheetFormatPr defaultColWidth="9.109375" defaultRowHeight="14.4"/>
  <cols>
    <col min="1" max="1" width="28.88671875" style="15" customWidth="1"/>
    <col min="2" max="2" width="32.109375" style="37" customWidth="1"/>
    <col min="3" max="3" width="7.109375" style="15" customWidth="1"/>
    <col min="4" max="5" width="18" style="15" customWidth="1"/>
    <col min="6" max="6" width="13.33203125" style="15" customWidth="1"/>
    <col min="7" max="7" width="22.6640625" style="150" customWidth="1"/>
    <col min="8" max="8" width="11" style="15" customWidth="1"/>
    <col min="9" max="16384" width="9.109375" style="16"/>
  </cols>
  <sheetData>
    <row r="1" spans="1:9" ht="17.25" customHeight="1" thickBot="1"/>
    <row r="2" spans="1:9" ht="27.75" customHeight="1" thickBot="1">
      <c r="A2" s="39" t="s">
        <v>41</v>
      </c>
      <c r="B2" s="38" t="s">
        <v>42</v>
      </c>
      <c r="C2" s="590" t="s">
        <v>797</v>
      </c>
      <c r="D2" s="591"/>
      <c r="E2" s="591"/>
      <c r="F2" s="591"/>
      <c r="G2" s="591"/>
      <c r="H2" s="418" t="s">
        <v>796</v>
      </c>
    </row>
    <row r="3" spans="1:9" ht="18" customHeight="1">
      <c r="A3" s="22"/>
      <c r="B3" s="31"/>
      <c r="C3" s="23"/>
      <c r="D3" s="23"/>
      <c r="E3" s="23"/>
      <c r="F3" s="329"/>
      <c r="G3" s="151"/>
      <c r="H3" s="14"/>
      <c r="I3" s="406"/>
    </row>
    <row r="4" spans="1:9" ht="15.6" customHeight="1">
      <c r="A4" s="24"/>
      <c r="B4" s="32"/>
      <c r="C4" s="14"/>
      <c r="D4" s="14"/>
      <c r="E4" s="14"/>
      <c r="F4" s="14"/>
      <c r="G4" s="449"/>
      <c r="H4" s="14"/>
    </row>
    <row r="5" spans="1:9" ht="15" thickBot="1">
      <c r="A5" s="24"/>
      <c r="B5" s="588" t="s">
        <v>0</v>
      </c>
      <c r="C5" s="14"/>
      <c r="D5" s="25" t="s">
        <v>36</v>
      </c>
      <c r="E5" s="25" t="s">
        <v>35</v>
      </c>
      <c r="F5" s="25"/>
      <c r="G5" s="153" t="s">
        <v>29</v>
      </c>
      <c r="H5" s="16"/>
    </row>
    <row r="6" spans="1:9" ht="15" thickBot="1">
      <c r="A6" s="24"/>
      <c r="B6" s="588"/>
      <c r="C6" s="20"/>
      <c r="D6" s="19">
        <v>350</v>
      </c>
      <c r="E6" s="81">
        <v>250</v>
      </c>
      <c r="F6" s="14"/>
      <c r="G6" s="244">
        <f>Przepustnice!F39</f>
        <v>234.13018750000003</v>
      </c>
      <c r="H6" s="298" t="s">
        <v>519</v>
      </c>
    </row>
    <row r="7" spans="1:9" ht="15" customHeight="1" thickBot="1">
      <c r="A7" s="24"/>
      <c r="B7" s="588"/>
      <c r="C7" s="20"/>
      <c r="D7" s="56" t="s">
        <v>593</v>
      </c>
      <c r="E7" s="331"/>
      <c r="F7" s="14"/>
      <c r="G7" s="241" t="s">
        <v>405</v>
      </c>
      <c r="H7" s="297">
        <f>(G6-G8)/G8</f>
        <v>2.5264316178042234</v>
      </c>
    </row>
    <row r="8" spans="1:9" ht="15" thickBot="1">
      <c r="A8" s="26"/>
      <c r="B8" s="34"/>
      <c r="C8" s="27"/>
      <c r="D8" s="401" t="s">
        <v>111</v>
      </c>
      <c r="E8" s="454" t="s">
        <v>907</v>
      </c>
      <c r="F8" s="28"/>
      <c r="G8" s="245">
        <f>Przepustnice!F37</f>
        <v>66.392946999999992</v>
      </c>
      <c r="H8" s="29"/>
    </row>
    <row r="9" spans="1:9" ht="24.75" customHeight="1" thickBot="1">
      <c r="A9" s="22"/>
      <c r="B9" s="31"/>
      <c r="C9" s="186"/>
      <c r="D9" s="187" t="s">
        <v>36</v>
      </c>
      <c r="E9" s="187" t="s">
        <v>35</v>
      </c>
      <c r="F9" s="188"/>
      <c r="G9" s="187" t="s">
        <v>29</v>
      </c>
      <c r="H9" s="186"/>
    </row>
    <row r="10" spans="1:9" ht="15" thickBot="1">
      <c r="A10" s="24"/>
      <c r="B10" s="32"/>
      <c r="C10" s="188"/>
      <c r="D10" s="192">
        <v>250</v>
      </c>
      <c r="E10" s="193">
        <v>200</v>
      </c>
      <c r="F10" s="188"/>
      <c r="G10" s="244">
        <f>Przepustnice!F66</f>
        <v>82.837091700000002</v>
      </c>
      <c r="H10" s="298" t="s">
        <v>519</v>
      </c>
    </row>
    <row r="11" spans="1:9" ht="18" customHeight="1" thickBot="1">
      <c r="A11" s="24"/>
      <c r="B11" s="33" t="s">
        <v>24</v>
      </c>
      <c r="C11" s="189"/>
      <c r="D11" s="187" t="s">
        <v>61</v>
      </c>
      <c r="E11" s="333"/>
      <c r="F11" s="16"/>
      <c r="G11" s="241" t="s">
        <v>405</v>
      </c>
      <c r="H11" s="297">
        <f>(G10-G12)/G12</f>
        <v>1.2242583788598675</v>
      </c>
    </row>
    <row r="12" spans="1:9" ht="15" thickBot="1">
      <c r="A12" s="24"/>
      <c r="B12" s="32"/>
      <c r="C12" s="188"/>
      <c r="D12" s="194">
        <v>250</v>
      </c>
      <c r="E12" s="188"/>
      <c r="F12" s="188"/>
      <c r="G12" s="334">
        <f>Przepustnice!F64</f>
        <v>37.242567000000001</v>
      </c>
      <c r="H12" s="188"/>
    </row>
    <row r="13" spans="1:9" ht="18.75" customHeight="1" thickBot="1">
      <c r="A13" s="26"/>
      <c r="B13" s="34"/>
      <c r="C13" s="190"/>
      <c r="D13" s="191"/>
      <c r="E13" s="191"/>
      <c r="F13" s="191"/>
      <c r="G13" s="191"/>
      <c r="H13" s="191"/>
    </row>
    <row r="14" spans="1:9" ht="24" customHeight="1">
      <c r="A14" s="22"/>
      <c r="B14" s="31"/>
      <c r="C14" s="23"/>
      <c r="D14" s="23"/>
      <c r="E14" s="23"/>
      <c r="F14" s="23"/>
      <c r="G14" s="151"/>
      <c r="H14" s="23"/>
    </row>
    <row r="15" spans="1:9" ht="15" thickBot="1">
      <c r="A15" s="24"/>
      <c r="B15" s="32"/>
      <c r="C15" s="14"/>
      <c r="D15" s="25" t="s">
        <v>36</v>
      </c>
      <c r="E15" s="25" t="s">
        <v>35</v>
      </c>
      <c r="F15" s="56" t="s">
        <v>782</v>
      </c>
      <c r="G15" s="153" t="s">
        <v>29</v>
      </c>
      <c r="H15" s="16"/>
    </row>
    <row r="16" spans="1:9" ht="15" thickBot="1">
      <c r="A16" s="24"/>
      <c r="B16" s="33" t="s">
        <v>37</v>
      </c>
      <c r="C16" s="20"/>
      <c r="D16" s="36">
        <v>250</v>
      </c>
      <c r="E16" s="21">
        <v>150</v>
      </c>
      <c r="F16" s="416">
        <f>IF((D16*E16*4)/1000000 &lt;= 1, 'Ceny składowe'!C90, ((D16*E16*4)/1000000) * 'Ceny składowe'!C90)</f>
        <v>70</v>
      </c>
      <c r="G16" s="247">
        <f>'Czerpnia ścienna'!M22</f>
        <v>69.349999999999994</v>
      </c>
      <c r="H16" s="298" t="s">
        <v>519</v>
      </c>
    </row>
    <row r="17" spans="1:8" ht="16.95" customHeight="1">
      <c r="A17" s="24"/>
      <c r="B17" s="32"/>
      <c r="C17" s="14"/>
      <c r="D17" s="14"/>
      <c r="E17" s="360"/>
      <c r="F17" s="14"/>
      <c r="G17" s="241" t="s">
        <v>405</v>
      </c>
      <c r="H17" s="297">
        <f>(G16-G18)/G18</f>
        <v>0.73485388373736893</v>
      </c>
    </row>
    <row r="18" spans="1:8" ht="14.4" customHeight="1" thickBot="1">
      <c r="A18" s="26"/>
      <c r="B18" s="32"/>
      <c r="C18" s="28"/>
      <c r="D18" s="28"/>
      <c r="E18" s="28"/>
      <c r="F18" s="28"/>
      <c r="G18" s="245">
        <f>'Czerpnia ścienna'!F23</f>
        <v>39.974548087358436</v>
      </c>
      <c r="H18" s="28"/>
    </row>
    <row r="19" spans="1:8" ht="12.6" customHeight="1">
      <c r="A19" s="78"/>
      <c r="B19" s="65"/>
      <c r="C19" s="60"/>
      <c r="D19" s="61"/>
      <c r="E19" s="61"/>
      <c r="F19" s="61"/>
      <c r="G19" s="155"/>
      <c r="H19" s="62"/>
    </row>
    <row r="20" spans="1:8" ht="12.6" customHeight="1" thickBot="1">
      <c r="A20"/>
      <c r="B20" s="66"/>
      <c r="C20" s="63"/>
      <c r="D20" s="87" t="s">
        <v>94</v>
      </c>
      <c r="E20" s="87" t="s">
        <v>93</v>
      </c>
      <c r="F20" s="18"/>
      <c r="G20" s="153" t="s">
        <v>29</v>
      </c>
      <c r="H20" s="64"/>
    </row>
    <row r="21" spans="1:8" ht="15" thickBot="1">
      <c r="A21" s="79"/>
      <c r="B21" s="66"/>
      <c r="C21" s="63"/>
      <c r="D21" s="104">
        <v>550</v>
      </c>
      <c r="E21" s="89">
        <v>550</v>
      </c>
      <c r="F21" s="18"/>
      <c r="G21" s="247">
        <f>'Czerpnia dachowa lamelowa'!F38</f>
        <v>702.44100000000003</v>
      </c>
      <c r="H21" s="298" t="s">
        <v>519</v>
      </c>
    </row>
    <row r="22" spans="1:8" ht="15" thickBot="1">
      <c r="A22" s="79"/>
      <c r="B22" s="68" t="s">
        <v>538</v>
      </c>
      <c r="C22" s="63"/>
      <c r="D22" s="103" t="s">
        <v>445</v>
      </c>
      <c r="E22" s="103" t="s">
        <v>35</v>
      </c>
      <c r="G22" s="241" t="s">
        <v>405</v>
      </c>
      <c r="H22" s="297">
        <f>(G21-G23)/G23</f>
        <v>1.2319934455887305</v>
      </c>
    </row>
    <row r="23" spans="1:8" ht="15" thickBot="1">
      <c r="A23" s="79"/>
      <c r="B23" s="68"/>
      <c r="C23" s="63"/>
      <c r="D23" s="89">
        <v>500</v>
      </c>
      <c r="E23" s="89">
        <v>800</v>
      </c>
      <c r="F23" s="18"/>
      <c r="G23" s="248">
        <f>'Czerpnia dachowa lamelowa'!F41</f>
        <v>314.71463385714287</v>
      </c>
      <c r="H23" s="64"/>
    </row>
    <row r="24" spans="1:8">
      <c r="A24" s="79"/>
      <c r="B24" s="66"/>
      <c r="C24" s="63"/>
      <c r="D24" s="103" t="s">
        <v>536</v>
      </c>
      <c r="E24" s="55" t="s">
        <v>537</v>
      </c>
      <c r="F24" s="18"/>
      <c r="G24" s="156"/>
      <c r="H24" s="64"/>
    </row>
    <row r="25" spans="1:8" ht="16.95" customHeight="1" thickBot="1">
      <c r="A25" s="80"/>
      <c r="B25" s="67"/>
      <c r="C25" s="42"/>
      <c r="D25" s="308">
        <f>((ROUND(D23,0.1))/70)</f>
        <v>7.1428571428571432</v>
      </c>
      <c r="E25" s="313">
        <f>E23-D23</f>
        <v>300</v>
      </c>
      <c r="F25" s="30"/>
      <c r="G25" s="154"/>
      <c r="H25" s="43"/>
    </row>
    <row r="26" spans="1:8">
      <c r="A26" s="78"/>
      <c r="B26" s="65"/>
      <c r="C26" s="60"/>
      <c r="D26" s="61"/>
      <c r="E26" s="61"/>
      <c r="F26" s="61"/>
      <c r="G26" s="155"/>
      <c r="H26" s="62"/>
    </row>
    <row r="27" spans="1:8" ht="15" thickBot="1">
      <c r="A27"/>
      <c r="B27" s="66"/>
      <c r="C27" s="63"/>
      <c r="D27" s="87" t="s">
        <v>94</v>
      </c>
      <c r="E27" s="87" t="s">
        <v>93</v>
      </c>
      <c r="F27" s="18"/>
      <c r="G27" s="153" t="s">
        <v>29</v>
      </c>
      <c r="H27" s="64"/>
    </row>
    <row r="28" spans="1:8" ht="15" thickBot="1">
      <c r="A28" s="79"/>
      <c r="B28" s="66"/>
      <c r="C28" s="63"/>
      <c r="D28" s="104">
        <v>500</v>
      </c>
      <c r="E28" s="89">
        <v>500</v>
      </c>
      <c r="F28" s="18"/>
      <c r="G28" s="247">
        <f>'Czerpnia dachowa lamelowa'!F85</f>
        <v>657.97200000000009</v>
      </c>
      <c r="H28" s="298" t="s">
        <v>519</v>
      </c>
    </row>
    <row r="29" spans="1:8" ht="15" thickBot="1">
      <c r="A29" s="79"/>
      <c r="B29" s="68" t="s">
        <v>538</v>
      </c>
      <c r="C29" s="63"/>
      <c r="D29" s="305" t="s">
        <v>524</v>
      </c>
      <c r="E29" s="103" t="s">
        <v>527</v>
      </c>
      <c r="F29" s="312" t="s">
        <v>534</v>
      </c>
      <c r="G29" s="241" t="s">
        <v>405</v>
      </c>
      <c r="H29" s="297">
        <f>(G28-G30)/G30</f>
        <v>1.4119889810229278</v>
      </c>
    </row>
    <row r="30" spans="1:8" ht="15.75" customHeight="1" thickBot="1">
      <c r="A30" s="79"/>
      <c r="B30" s="68" t="s">
        <v>528</v>
      </c>
      <c r="C30" s="63"/>
      <c r="D30" s="89">
        <v>300</v>
      </c>
      <c r="E30" s="306">
        <f>'Czerpnia dachowa lamelowa'!G55</f>
        <v>7</v>
      </c>
      <c r="F30" s="306">
        <f>E30*70</f>
        <v>490</v>
      </c>
      <c r="G30" s="248">
        <f>'Czerpnia dachowa lamelowa'!F88</f>
        <v>272.79229100000003</v>
      </c>
      <c r="H30" s="64"/>
    </row>
    <row r="31" spans="1:8" ht="18" customHeight="1">
      <c r="A31" s="79"/>
      <c r="B31" s="66"/>
      <c r="C31" s="63"/>
      <c r="D31" s="18"/>
      <c r="E31" s="18"/>
      <c r="F31" s="18"/>
      <c r="G31" s="156"/>
      <c r="H31" s="64"/>
    </row>
    <row r="32" spans="1:8" ht="15" thickBot="1">
      <c r="A32" s="80"/>
      <c r="B32" s="67"/>
      <c r="C32" s="42"/>
      <c r="D32" s="30"/>
      <c r="E32" s="30"/>
      <c r="F32" s="30"/>
      <c r="G32" s="154"/>
      <c r="H32" s="43"/>
    </row>
    <row r="33" spans="1:8">
      <c r="A33" s="78"/>
      <c r="B33" s="65"/>
      <c r="C33" s="60"/>
      <c r="D33" s="61"/>
      <c r="E33" s="61"/>
      <c r="F33" s="61"/>
      <c r="G33" s="155"/>
      <c r="H33" s="62"/>
    </row>
    <row r="34" spans="1:8" ht="15" thickBot="1">
      <c r="A34"/>
      <c r="B34" s="66"/>
      <c r="C34" s="63"/>
      <c r="D34" s="87" t="s">
        <v>94</v>
      </c>
      <c r="E34" s="87" t="s">
        <v>93</v>
      </c>
      <c r="F34" s="18"/>
      <c r="G34" s="153" t="s">
        <v>29</v>
      </c>
      <c r="H34" s="64"/>
    </row>
    <row r="35" spans="1:8" ht="15" thickBot="1">
      <c r="A35" s="79"/>
      <c r="B35" s="66"/>
      <c r="C35" s="63"/>
      <c r="D35" s="104">
        <v>500</v>
      </c>
      <c r="E35" s="89">
        <v>500</v>
      </c>
      <c r="F35" s="18"/>
      <c r="G35" s="247">
        <f>'Czerpnia dachowa lamelowa'!U85</f>
        <v>616.76</v>
      </c>
      <c r="H35" s="298" t="s">
        <v>519</v>
      </c>
    </row>
    <row r="36" spans="1:8" ht="15" thickBot="1">
      <c r="A36" s="79"/>
      <c r="B36" s="68" t="s">
        <v>538</v>
      </c>
      <c r="C36" s="63"/>
      <c r="D36" s="305" t="s">
        <v>524</v>
      </c>
      <c r="E36" s="103" t="s">
        <v>527</v>
      </c>
      <c r="F36" s="312" t="s">
        <v>535</v>
      </c>
      <c r="G36" s="241" t="s">
        <v>405</v>
      </c>
      <c r="H36" s="297">
        <f>(G35-G37)/G37</f>
        <v>1.6799894418601298</v>
      </c>
    </row>
    <row r="37" spans="1:8" ht="15" thickBot="1">
      <c r="A37" s="79"/>
      <c r="B37" s="68" t="s">
        <v>529</v>
      </c>
      <c r="C37" s="63"/>
      <c r="D37" s="89">
        <v>300</v>
      </c>
      <c r="E37" s="308">
        <f>'Czerpnia dachowa lamelowa'!V55</f>
        <v>5</v>
      </c>
      <c r="F37" s="306">
        <f>E37*70</f>
        <v>350</v>
      </c>
      <c r="G37" s="248">
        <f>'Czerpnia dachowa lamelowa'!U88</f>
        <v>230.13523500000005</v>
      </c>
      <c r="H37" s="64"/>
    </row>
    <row r="38" spans="1:8">
      <c r="A38" s="79"/>
      <c r="B38" s="66"/>
      <c r="C38" s="63"/>
      <c r="D38" s="18"/>
      <c r="E38" s="18"/>
      <c r="F38" s="18"/>
      <c r="G38" s="156"/>
      <c r="H38" s="64"/>
    </row>
    <row r="39" spans="1:8" ht="15" thickBot="1">
      <c r="A39" s="80"/>
      <c r="B39" s="67"/>
      <c r="C39" s="42"/>
      <c r="D39" s="30"/>
      <c r="E39" s="30"/>
      <c r="F39" s="30"/>
      <c r="G39" s="154"/>
      <c r="H39" s="43"/>
    </row>
    <row r="40" spans="1:8">
      <c r="A40" s="78"/>
      <c r="B40" s="65"/>
      <c r="C40" s="60"/>
      <c r="D40" s="61"/>
      <c r="E40" s="61"/>
      <c r="F40" s="61"/>
      <c r="G40" s="155"/>
      <c r="H40" s="62"/>
    </row>
    <row r="41" spans="1:8" ht="15" thickBot="1">
      <c r="A41" s="79"/>
      <c r="B41" s="66"/>
      <c r="C41" s="63"/>
      <c r="D41" s="87" t="s">
        <v>94</v>
      </c>
      <c r="E41" s="87" t="s">
        <v>93</v>
      </c>
      <c r="F41" s="18"/>
      <c r="G41" s="153" t="s">
        <v>29</v>
      </c>
      <c r="H41" s="64"/>
    </row>
    <row r="42" spans="1:8" ht="15" thickBot="1">
      <c r="A42"/>
      <c r="B42" s="66"/>
      <c r="C42" s="63"/>
      <c r="D42" s="89">
        <v>400</v>
      </c>
      <c r="E42" s="89">
        <v>400</v>
      </c>
      <c r="F42" s="18"/>
      <c r="G42" s="246">
        <f>Wyrzutnie!N77</f>
        <v>651.0529797896844</v>
      </c>
      <c r="H42" s="298" t="s">
        <v>519</v>
      </c>
    </row>
    <row r="43" spans="1:8">
      <c r="A43"/>
      <c r="B43" s="68" t="s">
        <v>563</v>
      </c>
      <c r="C43" s="63"/>
      <c r="E43" s="88" t="s">
        <v>61</v>
      </c>
      <c r="F43" s="87"/>
      <c r="G43" s="241" t="s">
        <v>405</v>
      </c>
      <c r="H43" s="297">
        <f>(G42-G44)/G44</f>
        <v>3.366397362228648</v>
      </c>
    </row>
    <row r="44" spans="1:8" ht="16.95" customHeight="1">
      <c r="A44" s="79"/>
      <c r="B44" s="68" t="s">
        <v>564</v>
      </c>
      <c r="C44" s="63"/>
      <c r="E44" s="306">
        <f>Wyrzutnie!K45</f>
        <v>890</v>
      </c>
      <c r="F44" s="37"/>
      <c r="G44" s="248">
        <f>Wyrzutnie!N81</f>
        <v>149.10529797896845</v>
      </c>
      <c r="H44" s="64"/>
    </row>
    <row r="45" spans="1:8">
      <c r="A45" s="79"/>
      <c r="B45" s="66"/>
      <c r="C45" s="63"/>
      <c r="D45" s="87"/>
      <c r="E45" s="87"/>
      <c r="F45" s="69"/>
      <c r="G45" s="156"/>
      <c r="H45" s="64"/>
    </row>
    <row r="46" spans="1:8" ht="18" customHeight="1" thickBot="1">
      <c r="A46" s="80"/>
      <c r="B46" s="67"/>
      <c r="C46" s="42"/>
      <c r="D46" s="30"/>
      <c r="E46" s="30"/>
      <c r="F46" s="30"/>
      <c r="G46" s="154"/>
      <c r="H46" s="43"/>
    </row>
    <row r="47" spans="1:8">
      <c r="A47" s="22"/>
      <c r="B47" s="31"/>
      <c r="C47" s="23"/>
      <c r="D47" s="23"/>
      <c r="E47" s="23"/>
      <c r="F47" s="23"/>
      <c r="G47" s="151"/>
      <c r="H47" s="23"/>
    </row>
    <row r="48" spans="1:8" ht="18" customHeight="1">
      <c r="A48" s="24"/>
      <c r="B48" s="32"/>
      <c r="C48" s="14"/>
      <c r="D48" s="14"/>
      <c r="E48" s="14"/>
      <c r="F48" s="14"/>
      <c r="G48" s="152"/>
      <c r="H48" s="14"/>
    </row>
    <row r="49" spans="1:8" ht="15" thickBot="1">
      <c r="A49" s="24"/>
      <c r="B49" s="32"/>
      <c r="C49" s="14"/>
      <c r="D49" s="25" t="s">
        <v>36</v>
      </c>
      <c r="E49" s="25" t="s">
        <v>35</v>
      </c>
      <c r="F49" s="25"/>
      <c r="G49" s="153" t="s">
        <v>29</v>
      </c>
      <c r="H49" s="14"/>
    </row>
    <row r="50" spans="1:8" ht="15" thickBot="1">
      <c r="A50" s="24"/>
      <c r="B50" s="33" t="s">
        <v>60</v>
      </c>
      <c r="C50" s="14"/>
      <c r="D50" s="36">
        <v>1400</v>
      </c>
      <c r="E50" s="21">
        <v>300</v>
      </c>
      <c r="F50" s="14"/>
      <c r="G50" s="247">
        <f>'Tłumik prostokątny'!F44</f>
        <v>1131.9407600199997</v>
      </c>
      <c r="H50" s="298" t="s">
        <v>519</v>
      </c>
    </row>
    <row r="51" spans="1:8" ht="15" thickBot="1">
      <c r="A51" s="24"/>
      <c r="B51" s="32"/>
      <c r="C51" s="14"/>
      <c r="D51" s="25" t="s">
        <v>61</v>
      </c>
      <c r="E51" s="55" t="s">
        <v>71</v>
      </c>
      <c r="F51" s="56" t="s">
        <v>70</v>
      </c>
      <c r="G51" s="241" t="s">
        <v>405</v>
      </c>
      <c r="H51" s="297">
        <f>(G50-G52)/G52</f>
        <v>1.2352504385792853</v>
      </c>
    </row>
    <row r="52" spans="1:8" ht="15" thickBot="1">
      <c r="A52" s="41"/>
      <c r="B52" s="35"/>
      <c r="C52" s="17"/>
      <c r="D52" s="45">
        <v>1000</v>
      </c>
      <c r="E52" s="58">
        <f>IF(D50&lt;=1000,100,IF(D50&gt;1000,200))</f>
        <v>200</v>
      </c>
      <c r="F52" s="59">
        <f>IF(D50&lt;=300,1,IF(D50&lt;=500,2,IF(D50&lt;=700,3,IF(D50&lt;=900,4,IF(D50&lt;=1000,5,IF(D50&lt;=1300,3,IF(D50&lt;=1700,4,IF(D50&lt;=2000,5,IF(D50&lt;=2500,6,IF(D50&lt;=3000,7))))))))))</f>
        <v>4</v>
      </c>
      <c r="G52" s="248">
        <f>'Tłumik prostokątny'!F48</f>
        <v>506.40444599999989</v>
      </c>
      <c r="H52" s="17"/>
    </row>
    <row r="53" spans="1:8" ht="15" thickBot="1">
      <c r="A53" s="42"/>
      <c r="B53" s="44"/>
      <c r="C53" s="30"/>
      <c r="D53" s="30"/>
      <c r="E53" s="30"/>
      <c r="F53" s="30"/>
      <c r="G53" s="154"/>
      <c r="H53" s="30"/>
    </row>
    <row r="54" spans="1:8">
      <c r="A54" s="22"/>
      <c r="B54" s="31"/>
      <c r="C54" s="23"/>
      <c r="D54" s="23"/>
      <c r="E54" s="23"/>
      <c r="F54" s="23"/>
      <c r="G54" s="151"/>
      <c r="H54" s="23"/>
    </row>
    <row r="55" spans="1:8">
      <c r="A55" s="24"/>
      <c r="B55" s="32"/>
      <c r="C55" s="14"/>
      <c r="D55" s="14"/>
      <c r="E55" s="14"/>
      <c r="F55" s="14"/>
      <c r="G55" s="152"/>
      <c r="H55" s="14"/>
    </row>
    <row r="56" spans="1:8" ht="15" thickBot="1">
      <c r="A56" s="24"/>
      <c r="B56" s="32"/>
      <c r="C56" s="14"/>
      <c r="D56" s="25" t="s">
        <v>36</v>
      </c>
      <c r="E56" s="25" t="s">
        <v>35</v>
      </c>
      <c r="F56" s="25"/>
      <c r="G56" s="153" t="s">
        <v>29</v>
      </c>
    </row>
    <row r="57" spans="1:8" ht="15" thickBot="1">
      <c r="A57" s="24"/>
      <c r="B57" s="33"/>
      <c r="C57" s="14"/>
      <c r="D57" s="36">
        <v>550</v>
      </c>
      <c r="E57" s="21">
        <v>300</v>
      </c>
      <c r="F57" s="14"/>
      <c r="G57" s="247">
        <f>'Tłumik prostokątny'!F93</f>
        <v>493.45324950999992</v>
      </c>
      <c r="H57" s="298" t="s">
        <v>519</v>
      </c>
    </row>
    <row r="58" spans="1:8" ht="15" thickBot="1">
      <c r="A58" s="24"/>
      <c r="B58" s="33" t="s">
        <v>60</v>
      </c>
      <c r="C58" s="14"/>
      <c r="D58" s="25" t="s">
        <v>61</v>
      </c>
      <c r="E58" s="55" t="s">
        <v>71</v>
      </c>
      <c r="F58" s="56" t="s">
        <v>70</v>
      </c>
      <c r="G58" s="235" t="s">
        <v>405</v>
      </c>
      <c r="H58" s="297">
        <f>(G57-G59)/G59</f>
        <v>2.7445132050684311</v>
      </c>
    </row>
    <row r="59" spans="1:8" ht="15" thickBot="1">
      <c r="A59" s="41"/>
      <c r="B59" s="283" t="s">
        <v>455</v>
      </c>
      <c r="C59" s="355"/>
      <c r="D59" s="45">
        <v>1000</v>
      </c>
      <c r="E59" s="272">
        <v>100</v>
      </c>
      <c r="F59" s="273">
        <v>2</v>
      </c>
      <c r="G59" s="248">
        <f>'Tłumik prostokątny'!F97</f>
        <v>131.78034699999998</v>
      </c>
      <c r="H59" s="17"/>
    </row>
    <row r="60" spans="1:8" ht="15" thickBot="1">
      <c r="A60" s="41"/>
      <c r="B60" s="35"/>
      <c r="C60" s="17"/>
      <c r="D60"/>
      <c r="E60"/>
      <c r="F60"/>
      <c r="G60" s="280" t="s">
        <v>473</v>
      </c>
    </row>
    <row r="61" spans="1:8" ht="15" thickBot="1">
      <c r="A61" s="41"/>
      <c r="B61" s="35"/>
      <c r="C61" s="17"/>
      <c r="D61"/>
      <c r="E61"/>
      <c r="F61"/>
      <c r="G61" s="247">
        <f>'Tłumik prostokątny'!M91</f>
        <v>121.11599999999999</v>
      </c>
      <c r="H61" s="299" t="s">
        <v>519</v>
      </c>
    </row>
    <row r="62" spans="1:8">
      <c r="A62" s="41"/>
      <c r="B62" s="35"/>
      <c r="C62" s="17"/>
      <c r="D62"/>
      <c r="E62" s="587" t="s">
        <v>787</v>
      </c>
      <c r="F62" s="587"/>
      <c r="G62" s="282" t="s">
        <v>475</v>
      </c>
      <c r="H62" s="297">
        <f>(G61-G63)/G63</f>
        <v>2.1686514996128006</v>
      </c>
    </row>
    <row r="63" spans="1:8">
      <c r="A63" s="41"/>
      <c r="B63" s="35"/>
      <c r="C63" s="17"/>
      <c r="D63"/>
      <c r="E63" s="417">
        <f>IF(D57&lt;=1000,100,IF(D57&gt;1000,200))</f>
        <v>100</v>
      </c>
      <c r="F63" s="417">
        <f>IF(D57&lt;=300,1,IF(D57&lt;=500,2,IF(D57&lt;=700,3,IF(D57&lt;=900,4,IF(D57&lt;=1000,5,IF(D57&lt;=1300,3,IF(D57&lt;=1700,4,IF(D57&lt;=2000,5,IF(D57&lt;=2500,6,IF(D57&lt;=3000,7))))))))))</f>
        <v>3</v>
      </c>
      <c r="G63" s="279">
        <f>'Tłumik prostokątny'!M95</f>
        <v>38.223199999999999</v>
      </c>
      <c r="H63" s="17"/>
    </row>
    <row r="64" spans="1:8" ht="15" thickBot="1">
      <c r="A64" s="42"/>
      <c r="B64" s="44"/>
      <c r="C64" s="30"/>
      <c r="D64" s="30"/>
      <c r="E64" s="30"/>
      <c r="F64" s="30"/>
      <c r="G64" s="154"/>
      <c r="H64" s="30"/>
    </row>
    <row r="65" spans="1:8" ht="15" thickBot="1">
      <c r="A65" s="60"/>
      <c r="B65" s="65"/>
      <c r="C65" s="61"/>
      <c r="D65" s="69" t="s">
        <v>322</v>
      </c>
      <c r="E65" s="235" t="s">
        <v>446</v>
      </c>
      <c r="F65" s="61"/>
      <c r="G65" s="254" t="s">
        <v>420</v>
      </c>
    </row>
    <row r="66" spans="1:8" ht="15" thickBot="1">
      <c r="A66" s="63"/>
      <c r="B66" s="66"/>
      <c r="C66" s="18"/>
      <c r="D66" s="403">
        <v>50</v>
      </c>
      <c r="E66" s="290" t="str">
        <f>'Tłumik okrągły'!A27</f>
        <v>VENTILAM ALU 50MM</v>
      </c>
      <c r="F66" s="18"/>
      <c r="G66" s="248">
        <f>'Tłumik okrągły'!M38</f>
        <v>259.03144539384027</v>
      </c>
      <c r="H66" s="14"/>
    </row>
    <row r="67" spans="1:8" ht="15" thickBot="1">
      <c r="A67" s="63"/>
      <c r="B67" s="68" t="s">
        <v>86</v>
      </c>
      <c r="C67" s="18"/>
      <c r="D67" s="69" t="s">
        <v>87</v>
      </c>
      <c r="E67" s="69" t="s">
        <v>61</v>
      </c>
      <c r="F67" s="18"/>
      <c r="G67" s="153" t="s">
        <v>29</v>
      </c>
      <c r="H67" s="297">
        <f>(G68-G66)/G66</f>
        <v>0.83655141592825599</v>
      </c>
    </row>
    <row r="68" spans="1:8" ht="15" thickBot="1">
      <c r="A68" s="79"/>
      <c r="B68" s="68"/>
      <c r="C68" s="18"/>
      <c r="D68" s="72">
        <v>400</v>
      </c>
      <c r="E68" s="71">
        <v>1200</v>
      </c>
      <c r="F68" s="18"/>
      <c r="G68" s="247">
        <f>'Tłumik okrągły'!F32</f>
        <v>475.72456780800007</v>
      </c>
      <c r="H68" s="300" t="s">
        <v>519</v>
      </c>
    </row>
    <row r="69" spans="1:8">
      <c r="A69" s="63"/>
      <c r="B69" s="66"/>
      <c r="C69" s="18"/>
      <c r="D69" s="18"/>
      <c r="E69" s="18"/>
      <c r="F69" s="18"/>
      <c r="G69" s="241" t="s">
        <v>405</v>
      </c>
      <c r="H69" s="297">
        <f>(G68-G70)/G70</f>
        <v>0.87541276605253548</v>
      </c>
    </row>
    <row r="70" spans="1:8" ht="15" thickBot="1">
      <c r="A70" s="42"/>
      <c r="B70" s="67"/>
      <c r="C70" s="30"/>
      <c r="D70" s="30"/>
      <c r="E70" s="30"/>
      <c r="F70" s="30"/>
      <c r="G70" s="253">
        <f>'Tłumik okrągły'!M37</f>
        <v>253.66392744000001</v>
      </c>
      <c r="H70" s="43"/>
    </row>
    <row r="71" spans="1:8">
      <c r="A71" s="145"/>
      <c r="B71" s="65"/>
      <c r="C71" s="60"/>
      <c r="D71" s="61"/>
      <c r="E71" s="61"/>
      <c r="F71" s="61"/>
      <c r="G71" s="155"/>
      <c r="H71" s="62"/>
    </row>
    <row r="72" spans="1:8" ht="15" thickBot="1">
      <c r="A72" s="79"/>
      <c r="B72" s="66"/>
      <c r="C72" s="63"/>
      <c r="D72" s="87" t="s">
        <v>94</v>
      </c>
      <c r="E72" s="87" t="s">
        <v>93</v>
      </c>
      <c r="F72" s="18"/>
      <c r="G72" s="153" t="s">
        <v>29</v>
      </c>
      <c r="H72" s="64"/>
    </row>
    <row r="73" spans="1:8" ht="15" thickBot="1">
      <c r="A73" s="79"/>
      <c r="B73" s="66"/>
      <c r="C73" s="63"/>
      <c r="D73" s="89">
        <v>305</v>
      </c>
      <c r="E73" s="89">
        <v>305</v>
      </c>
      <c r="F73" s="18"/>
      <c r="G73" s="246">
        <f>'Cokół COKD'!T78</f>
        <v>190.84109393</v>
      </c>
      <c r="H73" s="298" t="s">
        <v>519</v>
      </c>
    </row>
    <row r="74" spans="1:8" ht="15" thickBot="1">
      <c r="A74"/>
      <c r="B74" s="68" t="s">
        <v>521</v>
      </c>
      <c r="C74" s="63"/>
      <c r="D74" s="88" t="s">
        <v>61</v>
      </c>
      <c r="E74" s="88" t="s">
        <v>87</v>
      </c>
      <c r="F74" s="18"/>
      <c r="G74" s="241" t="s">
        <v>405</v>
      </c>
      <c r="H74" s="297">
        <f>(G73-G75)/G75</f>
        <v>1.3805137573735071</v>
      </c>
    </row>
    <row r="75" spans="1:8" ht="15" thickBot="1">
      <c r="A75" s="79"/>
      <c r="B75" s="68"/>
      <c r="C75" s="63"/>
      <c r="D75" s="89">
        <v>400</v>
      </c>
      <c r="E75" s="89">
        <v>160</v>
      </c>
      <c r="F75" s="18"/>
      <c r="G75" s="248">
        <f>'Cokół COKD'!T82</f>
        <v>80.168028157317082</v>
      </c>
      <c r="H75" s="64"/>
    </row>
    <row r="76" spans="1:8" ht="15" thickBot="1">
      <c r="A76" s="79"/>
      <c r="B76" s="66"/>
      <c r="C76" s="63"/>
      <c r="D76" s="87" t="s">
        <v>512</v>
      </c>
      <c r="E76" s="18"/>
      <c r="F76" s="69" t="s">
        <v>624</v>
      </c>
      <c r="G76" s="235"/>
      <c r="H76" s="64"/>
    </row>
    <row r="77" spans="1:8" ht="15" thickBot="1">
      <c r="A77" s="80"/>
      <c r="B77" s="67"/>
      <c r="C77" s="42"/>
      <c r="D77" s="402">
        <v>10</v>
      </c>
      <c r="E77" s="270" t="str">
        <f>'Cokół COKD'!O72</f>
        <v>KAUCZUK 10MM</v>
      </c>
      <c r="F77" s="401" t="s">
        <v>241</v>
      </c>
      <c r="G77" s="293"/>
      <c r="H77" s="43"/>
    </row>
    <row r="78" spans="1:8">
      <c r="A78" s="78"/>
      <c r="B78" s="65"/>
      <c r="C78" s="60"/>
      <c r="D78" s="61"/>
      <c r="E78" s="61"/>
      <c r="F78" s="18"/>
      <c r="G78" s="155"/>
      <c r="H78" s="62"/>
    </row>
    <row r="79" spans="1:8" ht="15" thickBot="1">
      <c r="A79" s="79"/>
      <c r="B79" s="66"/>
      <c r="C79" s="63"/>
      <c r="D79" s="87" t="s">
        <v>94</v>
      </c>
      <c r="E79" s="87" t="s">
        <v>93</v>
      </c>
      <c r="F79" s="18"/>
      <c r="G79" s="153" t="s">
        <v>29</v>
      </c>
      <c r="H79" s="64"/>
    </row>
    <row r="80" spans="1:8" ht="15" thickBot="1">
      <c r="A80" s="79"/>
      <c r="B80" s="66"/>
      <c r="C80" s="63"/>
      <c r="D80" s="89">
        <v>200</v>
      </c>
      <c r="E80" s="148">
        <v>200</v>
      </c>
      <c r="F80" s="18"/>
      <c r="G80" s="246">
        <f>'Cokół COKD'!F34</f>
        <v>150</v>
      </c>
      <c r="H80" s="64"/>
    </row>
    <row r="81" spans="1:8" ht="15" thickBot="1">
      <c r="A81" s="79"/>
      <c r="B81" s="68" t="s">
        <v>495</v>
      </c>
      <c r="C81" s="63"/>
      <c r="D81" s="88" t="s">
        <v>61</v>
      </c>
      <c r="E81" s="423"/>
      <c r="F81" s="425"/>
      <c r="G81" s="426"/>
      <c r="H81" s="64"/>
    </row>
    <row r="82" spans="1:8" ht="15" thickBot="1">
      <c r="A82" s="79"/>
      <c r="B82" s="66"/>
      <c r="C82" s="63"/>
      <c r="D82" s="89">
        <v>600</v>
      </c>
      <c r="E82" s="37"/>
      <c r="F82" s="37"/>
      <c r="G82" s="424"/>
      <c r="H82" s="64"/>
    </row>
    <row r="83" spans="1:8">
      <c r="A83" s="79"/>
      <c r="B83" s="66"/>
      <c r="C83" s="63"/>
      <c r="E83" s="18"/>
      <c r="F83" s="18"/>
      <c r="G83" s="156"/>
      <c r="H83" s="64"/>
    </row>
    <row r="84" spans="1:8" ht="15" thickBot="1">
      <c r="A84" s="80"/>
      <c r="B84" s="67"/>
      <c r="C84" s="42"/>
      <c r="D84" s="30"/>
      <c r="E84" s="30"/>
      <c r="F84" s="30"/>
      <c r="G84" s="154"/>
      <c r="H84" s="43"/>
    </row>
    <row r="85" spans="1:8">
      <c r="A85" s="78"/>
      <c r="B85" s="65"/>
      <c r="C85" s="60"/>
      <c r="D85" s="61"/>
      <c r="E85" s="61"/>
      <c r="F85" s="61"/>
      <c r="G85" s="155"/>
      <c r="H85" s="62"/>
    </row>
    <row r="86" spans="1:8" ht="15" thickBot="1">
      <c r="A86" s="79"/>
      <c r="B86" s="66"/>
      <c r="C86" s="63"/>
      <c r="D86" s="87" t="s">
        <v>94</v>
      </c>
      <c r="E86" s="87" t="s">
        <v>93</v>
      </c>
      <c r="F86" s="18"/>
      <c r="G86" s="153" t="s">
        <v>29</v>
      </c>
      <c r="H86" s="64"/>
    </row>
    <row r="87" spans="1:8" ht="15" thickBot="1">
      <c r="A87" s="79"/>
      <c r="B87" s="66"/>
      <c r="C87" s="63"/>
      <c r="D87" s="89">
        <v>400</v>
      </c>
      <c r="E87" s="89">
        <v>400</v>
      </c>
      <c r="F87" s="18"/>
      <c r="G87" s="246">
        <f>'Cokół COKD'!F71</f>
        <v>139.60487999999998</v>
      </c>
      <c r="H87" s="64"/>
    </row>
    <row r="88" spans="1:8" ht="15" thickBot="1">
      <c r="A88"/>
      <c r="B88" s="68" t="s">
        <v>496</v>
      </c>
      <c r="C88" s="63"/>
      <c r="D88" s="88" t="s">
        <v>61</v>
      </c>
      <c r="G88" s="156"/>
      <c r="H88" s="64"/>
    </row>
    <row r="89" spans="1:8" ht="15" thickBot="1">
      <c r="A89" s="79"/>
      <c r="B89" s="68"/>
      <c r="C89" s="63"/>
      <c r="D89" s="89">
        <v>300</v>
      </c>
      <c r="E89" s="91"/>
      <c r="F89" s="18"/>
      <c r="G89" s="156"/>
      <c r="H89" s="64"/>
    </row>
    <row r="90" spans="1:8">
      <c r="A90" s="79"/>
      <c r="B90" s="66"/>
      <c r="C90" s="63"/>
      <c r="D90" s="18"/>
      <c r="E90" s="18"/>
      <c r="F90" s="18"/>
      <c r="G90" s="156"/>
      <c r="H90" s="64"/>
    </row>
    <row r="91" spans="1:8" ht="15" thickBot="1">
      <c r="A91" s="80"/>
      <c r="B91" s="67"/>
      <c r="C91" s="42"/>
      <c r="D91" s="30"/>
      <c r="E91" s="30"/>
      <c r="F91" s="30"/>
      <c r="G91" s="154"/>
      <c r="H91" s="43"/>
    </row>
    <row r="92" spans="1:8">
      <c r="A92" s="145"/>
      <c r="B92" s="65"/>
      <c r="C92" s="60"/>
      <c r="D92" s="61"/>
      <c r="E92" s="61"/>
      <c r="F92" s="61"/>
      <c r="G92" s="155"/>
      <c r="H92" s="62"/>
    </row>
    <row r="93" spans="1:8" ht="15" thickBot="1">
      <c r="A93" s="79"/>
      <c r="B93" s="66"/>
      <c r="C93" s="63"/>
      <c r="D93" s="87" t="s">
        <v>94</v>
      </c>
      <c r="E93" s="87" t="s">
        <v>93</v>
      </c>
      <c r="F93" s="18"/>
      <c r="G93" s="153" t="s">
        <v>29</v>
      </c>
      <c r="H93" s="64"/>
    </row>
    <row r="94" spans="1:8" ht="15" thickBot="1">
      <c r="A94" s="79"/>
      <c r="B94" s="66"/>
      <c r="C94" s="63"/>
      <c r="D94" s="89">
        <v>690</v>
      </c>
      <c r="E94" s="89">
        <v>690</v>
      </c>
      <c r="F94" s="18"/>
      <c r="G94" s="246">
        <f>'Cokół COKD'!M34</f>
        <v>681.17105760000004</v>
      </c>
      <c r="H94" s="64"/>
    </row>
    <row r="95" spans="1:8" ht="15" thickBot="1">
      <c r="A95"/>
      <c r="B95" s="68" t="s">
        <v>497</v>
      </c>
      <c r="C95" s="63"/>
      <c r="D95" s="88" t="s">
        <v>61</v>
      </c>
      <c r="E95" s="91"/>
      <c r="F95" s="18"/>
      <c r="G95" s="156"/>
      <c r="H95" s="64"/>
    </row>
    <row r="96" spans="1:8" ht="15" thickBot="1">
      <c r="A96" s="79"/>
      <c r="B96" s="68"/>
      <c r="C96" s="63"/>
      <c r="D96" s="89">
        <v>898</v>
      </c>
      <c r="E96" s="91"/>
      <c r="F96" s="18"/>
      <c r="H96" s="64"/>
    </row>
    <row r="97" spans="1:8" ht="15" thickBot="1">
      <c r="A97" s="79"/>
      <c r="B97" s="66"/>
      <c r="C97" s="63"/>
      <c r="D97" s="87" t="s">
        <v>512</v>
      </c>
      <c r="E97" s="18"/>
      <c r="F97" s="18"/>
      <c r="G97" s="235"/>
      <c r="H97" s="64"/>
    </row>
    <row r="98" spans="1:8" ht="15" thickBot="1">
      <c r="A98" s="80"/>
      <c r="B98" s="67"/>
      <c r="C98" s="42"/>
      <c r="D98" s="402">
        <v>19</v>
      </c>
      <c r="E98" s="270" t="str">
        <f>'Cokół COKD'!H30</f>
        <v>KAUCZUK 19MM</v>
      </c>
      <c r="F98" s="30"/>
      <c r="G98" s="293"/>
      <c r="H98" s="43"/>
    </row>
    <row r="99" spans="1:8">
      <c r="A99" s="78"/>
      <c r="B99" s="65"/>
      <c r="C99" s="60"/>
      <c r="D99" s="61"/>
      <c r="E99" s="61"/>
      <c r="F99" s="61"/>
      <c r="G99" s="155"/>
      <c r="H99" s="62"/>
    </row>
    <row r="100" spans="1:8" ht="15" thickBot="1">
      <c r="A100" s="79"/>
      <c r="B100" s="66"/>
      <c r="C100" s="63"/>
      <c r="D100" s="87" t="s">
        <v>94</v>
      </c>
      <c r="E100" s="87" t="s">
        <v>93</v>
      </c>
      <c r="F100" s="18"/>
      <c r="G100" s="153" t="s">
        <v>29</v>
      </c>
      <c r="H100" s="64"/>
    </row>
    <row r="101" spans="1:8" ht="15" thickBot="1">
      <c r="A101" s="79"/>
      <c r="B101" s="66"/>
      <c r="C101" s="63"/>
      <c r="D101" s="89">
        <v>400</v>
      </c>
      <c r="E101" s="89">
        <v>400</v>
      </c>
      <c r="F101" s="18"/>
      <c r="G101" s="246">
        <f>'Cokół COKD'!T34</f>
        <v>417.84526000000005</v>
      </c>
      <c r="H101" s="64"/>
    </row>
    <row r="102" spans="1:8" ht="15" thickBot="1">
      <c r="A102"/>
      <c r="B102" s="68" t="s">
        <v>498</v>
      </c>
      <c r="C102" s="63"/>
      <c r="D102" s="88" t="s">
        <v>61</v>
      </c>
      <c r="E102" s="91"/>
      <c r="F102" s="18"/>
      <c r="G102" s="156"/>
      <c r="H102" s="64"/>
    </row>
    <row r="103" spans="1:8" ht="15" thickBot="1">
      <c r="A103" s="79"/>
      <c r="B103" s="68"/>
      <c r="C103" s="63"/>
      <c r="D103" s="89">
        <v>750</v>
      </c>
      <c r="E103" s="91"/>
      <c r="F103" s="18"/>
      <c r="G103" s="156"/>
      <c r="H103" s="64"/>
    </row>
    <row r="104" spans="1:8" ht="15" thickBot="1">
      <c r="A104" s="79"/>
      <c r="B104" s="66"/>
      <c r="C104" s="63"/>
      <c r="D104" s="557" t="s">
        <v>512</v>
      </c>
      <c r="G104" s="156"/>
      <c r="H104" s="64"/>
    </row>
    <row r="105" spans="1:8" ht="15" customHeight="1" thickBot="1">
      <c r="A105" s="80"/>
      <c r="B105" s="67"/>
      <c r="C105" s="42"/>
      <c r="D105" s="403">
        <v>50</v>
      </c>
      <c r="E105" s="589" t="str">
        <f>'Cokół COKD'!O30</f>
        <v>INDUSTRIAL60</v>
      </c>
      <c r="F105" s="589"/>
      <c r="G105" s="154"/>
      <c r="H105" s="43"/>
    </row>
    <row r="106" spans="1:8">
      <c r="A106" s="78"/>
      <c r="B106" s="65"/>
      <c r="C106" s="60"/>
      <c r="D106" s="61"/>
      <c r="E106" s="61"/>
      <c r="F106" s="61"/>
      <c r="G106" s="155"/>
      <c r="H106" s="62"/>
    </row>
    <row r="107" spans="1:8" ht="15" thickBot="1">
      <c r="A107" s="79"/>
      <c r="B107" s="66"/>
      <c r="C107" s="63"/>
      <c r="D107" s="87" t="s">
        <v>94</v>
      </c>
      <c r="E107" s="87" t="s">
        <v>93</v>
      </c>
      <c r="F107" s="18"/>
      <c r="G107" s="153" t="s">
        <v>29</v>
      </c>
      <c r="H107" s="64"/>
    </row>
    <row r="108" spans="1:8" ht="15" thickBot="1">
      <c r="A108" s="79"/>
      <c r="B108" s="66"/>
      <c r="C108" s="63"/>
      <c r="D108" s="89">
        <v>1100</v>
      </c>
      <c r="E108" s="89">
        <v>400</v>
      </c>
      <c r="F108" s="18"/>
      <c r="G108" s="246">
        <f>'Cokół COKD'!AA35</f>
        <v>503.67631999999998</v>
      </c>
      <c r="H108" s="64"/>
    </row>
    <row r="109" spans="1:8" ht="15" thickBot="1">
      <c r="A109"/>
      <c r="B109" s="68" t="s">
        <v>499</v>
      </c>
      <c r="C109" s="63"/>
      <c r="D109" s="88" t="s">
        <v>61</v>
      </c>
      <c r="E109" s="91"/>
      <c r="F109" s="18"/>
      <c r="G109" s="156"/>
      <c r="H109" s="64"/>
    </row>
    <row r="110" spans="1:8" ht="15" thickBot="1">
      <c r="A110" s="79"/>
      <c r="B110" s="68"/>
      <c r="C110" s="63"/>
      <c r="D110" s="89">
        <v>600</v>
      </c>
      <c r="E110" s="91"/>
      <c r="F110" s="18"/>
      <c r="G110" s="156"/>
      <c r="H110" s="64"/>
    </row>
    <row r="111" spans="1:8" ht="15" thickBot="1">
      <c r="A111" s="79"/>
      <c r="B111" s="66"/>
      <c r="C111" s="63"/>
      <c r="D111" s="87"/>
      <c r="E111" s="18"/>
      <c r="F111" s="18"/>
      <c r="G111" s="156"/>
      <c r="H111" s="64"/>
    </row>
    <row r="112" spans="1:8" ht="15" customHeight="1" thickBot="1">
      <c r="A112" s="80"/>
      <c r="B112" s="67"/>
      <c r="C112" s="42"/>
      <c r="D112" s="402">
        <v>50</v>
      </c>
      <c r="E112" s="427" t="str">
        <f>'Cokół COKD'!V30</f>
        <v>VENTILAM ALU PLUS 50MM</v>
      </c>
      <c r="F112" s="30"/>
      <c r="G112" s="154"/>
      <c r="H112" s="43"/>
    </row>
    <row r="113" spans="1:8">
      <c r="A113" s="60"/>
      <c r="B113" s="65"/>
      <c r="C113" s="61"/>
      <c r="D113" s="61"/>
      <c r="E113" s="61"/>
      <c r="F113" s="61"/>
      <c r="G113" s="155"/>
      <c r="H113" s="61"/>
    </row>
    <row r="114" spans="1:8">
      <c r="A114" s="63"/>
      <c r="B114" s="66"/>
      <c r="C114" s="18"/>
      <c r="D114" s="18"/>
      <c r="E114" s="18"/>
      <c r="F114" s="18"/>
      <c r="G114" s="156"/>
      <c r="H114" s="18"/>
    </row>
    <row r="115" spans="1:8" ht="15" thickBot="1">
      <c r="A115" s="63"/>
      <c r="B115" s="66"/>
      <c r="C115" s="18"/>
      <c r="D115" s="87" t="s">
        <v>94</v>
      </c>
      <c r="E115" s="87" t="s">
        <v>93</v>
      </c>
      <c r="F115" s="18"/>
      <c r="G115" s="153" t="s">
        <v>29</v>
      </c>
      <c r="H115" s="18"/>
    </row>
    <row r="116" spans="1:8" ht="15" thickBot="1">
      <c r="A116"/>
      <c r="B116" s="82"/>
      <c r="C116" s="79"/>
      <c r="D116" s="89">
        <v>350</v>
      </c>
      <c r="E116" s="89">
        <v>150</v>
      </c>
      <c r="F116" s="18"/>
      <c r="G116" s="247">
        <f>'Puszka rozprężna'!L41</f>
        <v>67.932156711760001</v>
      </c>
      <c r="H116" s="298" t="s">
        <v>519</v>
      </c>
    </row>
    <row r="117" spans="1:8" ht="15" thickBot="1">
      <c r="A117" s="63"/>
      <c r="B117" s="68" t="s">
        <v>203</v>
      </c>
      <c r="C117" s="18"/>
      <c r="D117" s="88" t="s">
        <v>61</v>
      </c>
      <c r="E117" s="88" t="s">
        <v>87</v>
      </c>
      <c r="F117" s="87"/>
      <c r="G117" s="235" t="s">
        <v>405</v>
      </c>
      <c r="H117" s="297">
        <f>(G116-G118)/G118</f>
        <v>1.5154183852288046</v>
      </c>
    </row>
    <row r="118" spans="1:8" ht="15" thickBot="1">
      <c r="A118" s="63"/>
      <c r="B118" s="68"/>
      <c r="C118" s="18"/>
      <c r="D118" s="71">
        <v>250</v>
      </c>
      <c r="E118" s="71">
        <v>1</v>
      </c>
      <c r="F118" s="37"/>
      <c r="G118" s="248">
        <f>'Puszka rozprężna'!H44</f>
        <v>27.006305237599999</v>
      </c>
      <c r="H118" s="18"/>
    </row>
    <row r="119" spans="1:8">
      <c r="A119" s="63"/>
      <c r="B119" s="66"/>
      <c r="C119" s="18"/>
      <c r="E119" s="87"/>
      <c r="F119" s="69"/>
      <c r="G119" s="87" t="s">
        <v>889</v>
      </c>
      <c r="H119" s="18"/>
    </row>
    <row r="120" spans="1:8">
      <c r="A120" s="63"/>
      <c r="B120" s="66"/>
      <c r="C120" s="18"/>
      <c r="E120" s="91"/>
      <c r="F120" s="91"/>
      <c r="G120" s="448" t="e">
        <f>VLOOKUP(E118, 'Ceny składowe'!$H$81:$I$87, 2, FALSE)</f>
        <v>#N/A</v>
      </c>
      <c r="H120" s="18"/>
    </row>
    <row r="121" spans="1:8" ht="15" thickBot="1">
      <c r="A121" s="42"/>
      <c r="B121" s="67"/>
      <c r="C121" s="30"/>
      <c r="D121" s="30"/>
      <c r="E121" s="30"/>
      <c r="F121" s="30"/>
      <c r="G121" s="154"/>
      <c r="H121" s="30"/>
    </row>
    <row r="122" spans="1:8">
      <c r="A122" s="60"/>
      <c r="B122" s="65"/>
      <c r="C122" s="61"/>
      <c r="D122" s="61"/>
      <c r="E122" s="61"/>
      <c r="F122" s="61"/>
      <c r="G122" s="155"/>
      <c r="H122" s="61"/>
    </row>
    <row r="123" spans="1:8">
      <c r="A123" s="63"/>
      <c r="B123" s="66"/>
      <c r="C123" s="18"/>
      <c r="D123" s="18"/>
      <c r="E123" s="18"/>
      <c r="F123" s="18"/>
      <c r="G123" s="156"/>
      <c r="H123" s="18"/>
    </row>
    <row r="124" spans="1:8" ht="15" thickBot="1">
      <c r="A124" s="63"/>
      <c r="B124" s="66"/>
      <c r="C124" s="18"/>
      <c r="D124" s="87" t="s">
        <v>94</v>
      </c>
      <c r="E124" s="87" t="s">
        <v>93</v>
      </c>
      <c r="F124" s="18"/>
      <c r="G124" s="153" t="s">
        <v>29</v>
      </c>
      <c r="H124" s="18"/>
    </row>
    <row r="125" spans="1:8" ht="15" thickBot="1">
      <c r="A125"/>
      <c r="B125" s="82"/>
      <c r="C125" s="79"/>
      <c r="D125" s="89">
        <v>505</v>
      </c>
      <c r="E125" s="89">
        <v>210</v>
      </c>
      <c r="F125" s="18"/>
      <c r="G125" s="246">
        <f>'Puszka rozprężna'!L87</f>
        <v>93.284591799999987</v>
      </c>
      <c r="H125" s="18"/>
    </row>
    <row r="126" spans="1:8" ht="15" thickBot="1">
      <c r="A126" s="63"/>
      <c r="B126" s="68" t="s">
        <v>500</v>
      </c>
      <c r="C126" s="18"/>
      <c r="D126" s="88" t="s">
        <v>61</v>
      </c>
      <c r="E126" s="88" t="s">
        <v>87</v>
      </c>
      <c r="F126" s="87"/>
      <c r="G126" s="156"/>
      <c r="H126" s="18"/>
    </row>
    <row r="127" spans="1:8" ht="15" thickBot="1">
      <c r="A127" s="63"/>
      <c r="B127" s="68"/>
      <c r="C127" s="18"/>
      <c r="D127" s="71">
        <v>300</v>
      </c>
      <c r="E127" s="71">
        <v>200</v>
      </c>
      <c r="F127" s="37"/>
      <c r="G127" s="156"/>
      <c r="H127" s="18"/>
    </row>
    <row r="128" spans="1:8">
      <c r="A128" s="63"/>
      <c r="B128" s="66"/>
      <c r="C128" s="18"/>
      <c r="E128" s="87"/>
      <c r="F128" s="69"/>
      <c r="G128" s="87" t="s">
        <v>889</v>
      </c>
      <c r="H128" s="18"/>
    </row>
    <row r="129" spans="1:8">
      <c r="A129" s="63"/>
      <c r="B129" s="66"/>
      <c r="C129" s="18"/>
      <c r="E129" s="91"/>
      <c r="F129" s="91"/>
      <c r="G129" s="448">
        <f>VLOOKUP(E127, 'Ceny składowe'!$H$81:$I$87, 2, FALSE)</f>
        <v>19.2</v>
      </c>
      <c r="H129" s="18"/>
    </row>
    <row r="130" spans="1:8" ht="15" thickBot="1">
      <c r="A130" s="42"/>
      <c r="B130" s="67"/>
      <c r="C130" s="30"/>
      <c r="D130" s="30"/>
      <c r="E130" s="30"/>
      <c r="F130" s="30"/>
      <c r="G130" s="154"/>
      <c r="H130" s="30"/>
    </row>
    <row r="131" spans="1:8">
      <c r="A131" s="60"/>
      <c r="B131" s="65"/>
      <c r="C131" s="61"/>
      <c r="D131" s="61"/>
      <c r="E131" s="61"/>
      <c r="F131" s="61"/>
      <c r="G131" s="155"/>
      <c r="H131" s="61"/>
    </row>
    <row r="132" spans="1:8">
      <c r="A132" s="63"/>
      <c r="B132" s="66"/>
      <c r="C132" s="18"/>
      <c r="D132" s="18"/>
      <c r="E132" s="18"/>
      <c r="F132" s="18"/>
      <c r="G132" s="156"/>
      <c r="H132" s="18"/>
    </row>
    <row r="133" spans="1:8" ht="15" thickBot="1">
      <c r="A133" s="63"/>
      <c r="B133" s="66"/>
      <c r="C133" s="18"/>
      <c r="D133" s="87" t="s">
        <v>94</v>
      </c>
      <c r="E133" s="87" t="s">
        <v>93</v>
      </c>
      <c r="F133" s="18"/>
      <c r="G133" s="153" t="s">
        <v>29</v>
      </c>
      <c r="H133" s="18"/>
    </row>
    <row r="134" spans="1:8" ht="15" thickBot="1">
      <c r="A134"/>
      <c r="B134" s="82"/>
      <c r="C134" s="79"/>
      <c r="D134" s="89">
        <v>585</v>
      </c>
      <c r="E134" s="89">
        <v>585</v>
      </c>
      <c r="F134" s="18"/>
      <c r="G134" s="246">
        <f>'Puszka rozprężna'!F42</f>
        <v>138.35759834999999</v>
      </c>
      <c r="H134" s="298" t="s">
        <v>519</v>
      </c>
    </row>
    <row r="135" spans="1:8" ht="15" thickBot="1">
      <c r="A135" s="63"/>
      <c r="B135" s="68" t="s">
        <v>204</v>
      </c>
      <c r="C135" s="18"/>
      <c r="D135" s="88" t="s">
        <v>61</v>
      </c>
      <c r="E135" s="88" t="s">
        <v>87</v>
      </c>
      <c r="F135" s="87"/>
      <c r="G135" s="235" t="s">
        <v>405</v>
      </c>
      <c r="H135" s="297">
        <f>(G134-G136)/G136</f>
        <v>1.6334180701124328</v>
      </c>
    </row>
    <row r="136" spans="1:8" ht="15" thickBot="1">
      <c r="A136" s="63"/>
      <c r="B136" s="66"/>
      <c r="C136" s="18"/>
      <c r="D136" s="71">
        <v>325</v>
      </c>
      <c r="E136" s="71">
        <v>125</v>
      </c>
      <c r="F136" s="37"/>
      <c r="G136" s="248">
        <f>'Puszka rozprężna'!C45</f>
        <v>52.5391695</v>
      </c>
      <c r="H136" s="18"/>
    </row>
    <row r="137" spans="1:8">
      <c r="A137" s="63"/>
      <c r="B137" s="66"/>
      <c r="C137" s="18"/>
      <c r="E137" s="87"/>
      <c r="F137" s="69"/>
      <c r="G137" s="87" t="s">
        <v>889</v>
      </c>
      <c r="H137" s="18"/>
    </row>
    <row r="138" spans="1:8">
      <c r="A138" s="63"/>
      <c r="B138" s="66"/>
      <c r="C138" s="18"/>
      <c r="E138" s="91"/>
      <c r="F138" s="91"/>
      <c r="G138" s="448">
        <f>VLOOKUP(E136, 'Ceny składowe'!$H$81:$I$87, 2, FALSE)</f>
        <v>15.6</v>
      </c>
      <c r="H138" s="18"/>
    </row>
    <row r="139" spans="1:8" ht="15" thickBot="1">
      <c r="A139" s="42"/>
      <c r="B139" s="67"/>
      <c r="C139" s="30"/>
      <c r="D139" s="30"/>
      <c r="E139" s="30"/>
      <c r="F139" s="30"/>
      <c r="G139" s="154"/>
      <c r="H139" s="30"/>
    </row>
    <row r="140" spans="1:8">
      <c r="A140" s="60"/>
      <c r="B140" s="65"/>
      <c r="C140" s="61"/>
      <c r="D140" s="61"/>
      <c r="E140" s="61"/>
      <c r="F140" s="61"/>
      <c r="G140" s="155"/>
      <c r="H140" s="61"/>
    </row>
    <row r="141" spans="1:8">
      <c r="A141" s="63"/>
      <c r="B141" s="66"/>
      <c r="C141" s="18"/>
      <c r="D141" s="18"/>
      <c r="E141" s="18"/>
      <c r="F141" s="18"/>
      <c r="G141" s="156"/>
      <c r="H141" s="18"/>
    </row>
    <row r="142" spans="1:8" ht="15" thickBot="1">
      <c r="A142" s="63"/>
      <c r="B142" s="66"/>
      <c r="C142" s="18"/>
      <c r="D142" s="87" t="s">
        <v>94</v>
      </c>
      <c r="E142" s="87" t="s">
        <v>93</v>
      </c>
      <c r="F142" s="18"/>
      <c r="G142" s="153" t="s">
        <v>29</v>
      </c>
      <c r="H142" s="18"/>
    </row>
    <row r="143" spans="1:8" ht="15" thickBot="1">
      <c r="A143"/>
      <c r="B143" s="82"/>
      <c r="C143" s="79"/>
      <c r="D143" s="89">
        <v>500</v>
      </c>
      <c r="E143" s="89">
        <v>200</v>
      </c>
      <c r="F143" s="18"/>
      <c r="G143" s="246">
        <f>'Puszka rozprężna'!F87</f>
        <v>105.572839811336</v>
      </c>
      <c r="H143" s="18"/>
    </row>
    <row r="144" spans="1:8" ht="15" thickBot="1">
      <c r="A144" s="63"/>
      <c r="B144" s="68" t="s">
        <v>204</v>
      </c>
      <c r="C144" s="18"/>
      <c r="D144" s="88" t="s">
        <v>61</v>
      </c>
      <c r="E144" s="88" t="s">
        <v>87</v>
      </c>
      <c r="F144" s="87"/>
      <c r="G144" s="235" t="s">
        <v>405</v>
      </c>
      <c r="H144" s="18"/>
    </row>
    <row r="145" spans="1:8" ht="15" thickBot="1">
      <c r="A145" s="63"/>
      <c r="B145" s="68" t="s">
        <v>216</v>
      </c>
      <c r="C145" s="18"/>
      <c r="D145" s="71">
        <v>80</v>
      </c>
      <c r="E145" s="71">
        <v>1</v>
      </c>
      <c r="F145" s="37"/>
      <c r="G145" s="248"/>
      <c r="H145" s="18"/>
    </row>
    <row r="146" spans="1:8" ht="15" thickBot="1">
      <c r="A146" s="63"/>
      <c r="B146" s="66"/>
      <c r="C146" s="18"/>
      <c r="D146" s="87" t="s">
        <v>512</v>
      </c>
      <c r="F146" s="69"/>
      <c r="G146" s="87" t="s">
        <v>889</v>
      </c>
      <c r="H146" s="18"/>
    </row>
    <row r="147" spans="1:8" ht="15" thickBot="1">
      <c r="A147" s="63"/>
      <c r="B147" s="66"/>
      <c r="C147" s="18"/>
      <c r="D147" s="402">
        <v>10</v>
      </c>
      <c r="E147" s="270" t="str">
        <f>'Puszka rozprężna'!A84</f>
        <v>KAUCZUK 10MM</v>
      </c>
      <c r="F147" s="91"/>
      <c r="G147" s="448" t="e">
        <f>VLOOKUP(E145, 'Ceny składowe'!$H$81:$I$87, 2, FALSE)</f>
        <v>#N/A</v>
      </c>
      <c r="H147" s="18"/>
    </row>
    <row r="148" spans="1:8" ht="15" thickBot="1">
      <c r="A148" s="42"/>
      <c r="B148" s="67"/>
      <c r="C148" s="30"/>
      <c r="D148" s="30"/>
      <c r="E148" s="30"/>
      <c r="F148" s="30"/>
      <c r="H148" s="30"/>
    </row>
    <row r="149" spans="1:8">
      <c r="A149" s="60"/>
      <c r="B149" s="65"/>
      <c r="C149" s="61"/>
      <c r="D149" s="61"/>
      <c r="E149" s="61"/>
      <c r="F149" s="61"/>
      <c r="G149" s="155"/>
      <c r="H149" s="61"/>
    </row>
    <row r="150" spans="1:8">
      <c r="A150" s="63"/>
      <c r="B150" s="66"/>
      <c r="C150" s="18"/>
      <c r="D150" s="18"/>
      <c r="E150" s="18"/>
      <c r="F150" s="18"/>
      <c r="G150" s="156"/>
      <c r="H150" s="18"/>
    </row>
    <row r="151" spans="1:8" ht="15" thickBot="1">
      <c r="A151" s="63"/>
      <c r="B151" s="66"/>
      <c r="C151" s="18"/>
      <c r="D151" s="87" t="s">
        <v>318</v>
      </c>
      <c r="E151" s="88" t="s">
        <v>61</v>
      </c>
      <c r="F151" s="18"/>
      <c r="G151" s="153" t="s">
        <v>29</v>
      </c>
      <c r="H151" s="18"/>
    </row>
    <row r="152" spans="1:8" ht="15" thickBot="1">
      <c r="A152"/>
      <c r="B152" s="82"/>
      <c r="C152" s="79"/>
      <c r="D152" s="89">
        <v>315</v>
      </c>
      <c r="E152" s="71">
        <v>250</v>
      </c>
      <c r="F152" s="18"/>
      <c r="G152" s="247">
        <f>'Puszka rozprężna okrągła'!D35</f>
        <v>77.574285775999996</v>
      </c>
      <c r="H152" s="18"/>
    </row>
    <row r="153" spans="1:8" ht="15" thickBot="1">
      <c r="A153" s="63"/>
      <c r="B153" s="68" t="s">
        <v>482</v>
      </c>
      <c r="C153" s="18"/>
      <c r="E153" s="88" t="s">
        <v>87</v>
      </c>
      <c r="F153" s="87"/>
      <c r="G153" s="235" t="s">
        <v>405</v>
      </c>
      <c r="H153" s="18"/>
    </row>
    <row r="154" spans="1:8" ht="15" thickBot="1">
      <c r="A154" s="63"/>
      <c r="B154" s="68"/>
      <c r="C154" s="18"/>
      <c r="E154" s="71">
        <v>125</v>
      </c>
      <c r="F154" s="37"/>
      <c r="G154" s="248">
        <f>'Puszka rozprężna'!H318</f>
        <v>0</v>
      </c>
      <c r="H154" s="18"/>
    </row>
    <row r="155" spans="1:8">
      <c r="A155" s="63"/>
      <c r="B155" s="66"/>
      <c r="C155" s="18"/>
      <c r="D155" s="87"/>
      <c r="E155" s="87"/>
      <c r="F155" s="69"/>
      <c r="G155" s="87" t="s">
        <v>889</v>
      </c>
      <c r="H155" s="18"/>
    </row>
    <row r="156" spans="1:8">
      <c r="A156" s="63"/>
      <c r="B156" s="66"/>
      <c r="C156" s="18"/>
      <c r="D156" s="37"/>
      <c r="E156" s="91"/>
      <c r="F156" s="91"/>
      <c r="G156" s="448">
        <f>VLOOKUP(E154, 'Ceny składowe'!$H$81:$I$87, 2, FALSE)</f>
        <v>15.6</v>
      </c>
      <c r="H156" s="18"/>
    </row>
    <row r="157" spans="1:8" ht="15" thickBot="1">
      <c r="A157" s="42"/>
      <c r="B157" s="67"/>
      <c r="C157" s="30"/>
      <c r="D157" s="30"/>
      <c r="E157" s="30"/>
      <c r="F157" s="30"/>
      <c r="G157" s="154"/>
      <c r="H157" s="30"/>
    </row>
    <row r="158" spans="1:8">
      <c r="A158" s="60"/>
      <c r="B158" s="65"/>
      <c r="C158" s="61"/>
      <c r="D158" s="61"/>
      <c r="E158" s="61"/>
      <c r="F158" s="61"/>
      <c r="G158" s="155"/>
      <c r="H158" s="61"/>
    </row>
    <row r="159" spans="1:8">
      <c r="A159" s="63"/>
      <c r="B159" s="66"/>
      <c r="C159" s="18"/>
      <c r="D159" s="18"/>
      <c r="E159" s="18"/>
      <c r="F159" s="18"/>
      <c r="G159" s="156"/>
      <c r="H159" s="18"/>
    </row>
    <row r="160" spans="1:8" ht="15" thickBot="1">
      <c r="A160" s="63"/>
      <c r="B160" s="66"/>
      <c r="C160" s="18"/>
      <c r="D160" s="87" t="s">
        <v>318</v>
      </c>
      <c r="E160" s="88" t="s">
        <v>61</v>
      </c>
      <c r="F160" s="18"/>
      <c r="G160" s="153" t="s">
        <v>29</v>
      </c>
      <c r="H160" s="18"/>
    </row>
    <row r="161" spans="1:8" ht="15" thickBot="1">
      <c r="A161"/>
      <c r="B161" s="285" t="s">
        <v>487</v>
      </c>
      <c r="C161" s="79"/>
      <c r="D161" s="89">
        <v>340</v>
      </c>
      <c r="E161" s="71">
        <v>225</v>
      </c>
      <c r="F161" s="18"/>
      <c r="G161" s="247">
        <f>'Puszka rozprężna okrągła'!J35</f>
        <v>83.482642846000005</v>
      </c>
      <c r="H161" s="18"/>
    </row>
    <row r="162" spans="1:8" ht="15" thickBot="1">
      <c r="A162" s="63"/>
      <c r="B162" s="68" t="s">
        <v>488</v>
      </c>
      <c r="C162" s="18"/>
      <c r="E162" s="88" t="s">
        <v>87</v>
      </c>
      <c r="F162" s="87"/>
      <c r="G162" s="235" t="s">
        <v>405</v>
      </c>
      <c r="H162" s="18"/>
    </row>
    <row r="163" spans="1:8" ht="15" thickBot="1">
      <c r="A163" s="63"/>
      <c r="B163" s="68"/>
      <c r="C163" s="18"/>
      <c r="E163" s="71">
        <v>125</v>
      </c>
      <c r="F163" s="37"/>
      <c r="G163" s="248">
        <f>'Puszka rozprężna'!H327</f>
        <v>0</v>
      </c>
      <c r="H163" s="18"/>
    </row>
    <row r="164" spans="1:8">
      <c r="A164" s="63"/>
      <c r="B164" s="66"/>
      <c r="C164" s="18"/>
      <c r="D164" s="87"/>
      <c r="E164" s="87"/>
      <c r="F164" s="69"/>
      <c r="G164" s="87" t="s">
        <v>889</v>
      </c>
      <c r="H164" s="18"/>
    </row>
    <row r="165" spans="1:8">
      <c r="A165" s="63"/>
      <c r="B165" s="66"/>
      <c r="C165" s="18"/>
      <c r="D165" s="37"/>
      <c r="E165" s="91"/>
      <c r="F165" s="91"/>
      <c r="G165" s="448">
        <f>VLOOKUP(E163, 'Ceny składowe'!$H$81:$I$87, 2, FALSE)</f>
        <v>15.6</v>
      </c>
      <c r="H165" s="18"/>
    </row>
    <row r="166" spans="1:8" ht="15" thickBot="1">
      <c r="A166" s="42"/>
      <c r="B166" s="67"/>
      <c r="C166" s="30"/>
      <c r="D166" s="30"/>
      <c r="E166" s="30"/>
      <c r="F166" s="30"/>
      <c r="G166" s="154"/>
      <c r="H166" s="30"/>
    </row>
    <row r="167" spans="1:8">
      <c r="A167" s="60"/>
      <c r="B167" s="65"/>
      <c r="C167" s="61"/>
      <c r="D167" s="61"/>
      <c r="E167" s="61"/>
      <c r="F167" s="61"/>
      <c r="G167" s="155"/>
      <c r="H167" s="61"/>
    </row>
    <row r="168" spans="1:8">
      <c r="A168" s="63"/>
      <c r="B168" s="66"/>
      <c r="C168" s="18"/>
      <c r="D168" s="18"/>
      <c r="E168" s="18"/>
      <c r="F168" s="18"/>
      <c r="G168" s="156"/>
      <c r="H168" s="18"/>
    </row>
    <row r="169" spans="1:8" ht="15" thickBot="1">
      <c r="A169" s="63"/>
      <c r="B169" s="66"/>
      <c r="C169" s="18"/>
      <c r="D169" s="87" t="s">
        <v>318</v>
      </c>
      <c r="E169" s="88" t="s">
        <v>61</v>
      </c>
      <c r="F169" s="18"/>
      <c r="G169" s="153" t="s">
        <v>29</v>
      </c>
      <c r="H169" s="18"/>
    </row>
    <row r="170" spans="1:8" ht="15" thickBot="1">
      <c r="A170"/>
      <c r="B170" s="285" t="s">
        <v>487</v>
      </c>
      <c r="C170" s="79"/>
      <c r="D170" s="89">
        <v>390</v>
      </c>
      <c r="E170" s="71">
        <v>250</v>
      </c>
      <c r="F170" s="18"/>
      <c r="G170" s="247">
        <f>'Puszka rozprężna okrągła'!P34</f>
        <v>158.67976612350003</v>
      </c>
      <c r="H170" s="18"/>
    </row>
    <row r="171" spans="1:8" ht="15" thickBot="1">
      <c r="A171" s="63"/>
      <c r="B171" s="68" t="s">
        <v>489</v>
      </c>
      <c r="C171" s="18"/>
      <c r="E171" s="88" t="s">
        <v>87</v>
      </c>
      <c r="F171" s="87"/>
      <c r="G171" s="235" t="s">
        <v>405</v>
      </c>
      <c r="H171" s="18"/>
    </row>
    <row r="172" spans="1:8" ht="15" thickBot="1">
      <c r="A172" s="63"/>
      <c r="B172" s="68"/>
      <c r="C172" s="18"/>
      <c r="E172" s="71">
        <v>160</v>
      </c>
      <c r="F172" s="37"/>
      <c r="G172" s="248">
        <f>'Puszka rozprężna'!H336</f>
        <v>0</v>
      </c>
      <c r="H172" s="18"/>
    </row>
    <row r="173" spans="1:8" ht="15" thickBot="1">
      <c r="A173" s="63"/>
      <c r="B173" s="66"/>
      <c r="C173" s="18"/>
      <c r="D173" s="87" t="s">
        <v>512</v>
      </c>
      <c r="E173" s="87"/>
      <c r="F173" s="69"/>
      <c r="G173" s="87" t="s">
        <v>889</v>
      </c>
      <c r="H173" s="18"/>
    </row>
    <row r="174" spans="1:8" ht="15" thickBot="1">
      <c r="A174" s="63"/>
      <c r="B174" s="66"/>
      <c r="C174" s="18"/>
      <c r="D174" s="402">
        <v>20</v>
      </c>
      <c r="E174" s="270" t="str">
        <f>'Puszka rozprężna okrągła'!M29</f>
        <v>INSUL-ROLL 19</v>
      </c>
      <c r="F174" s="91"/>
      <c r="G174" s="448">
        <f>VLOOKUP(E172, 'Ceny składowe'!$H$81:$I$87, 2, FALSE)</f>
        <v>16.8</v>
      </c>
      <c r="H174" s="18"/>
    </row>
    <row r="175" spans="1:8" ht="15" thickBot="1">
      <c r="A175" s="42"/>
      <c r="B175" s="67"/>
      <c r="C175" s="30"/>
      <c r="D175" s="30"/>
      <c r="E175" s="30"/>
      <c r="F175" s="30"/>
      <c r="H175" s="30"/>
    </row>
    <row r="176" spans="1:8">
      <c r="A176" s="60"/>
      <c r="B176" s="65"/>
      <c r="C176" s="61"/>
      <c r="D176" s="61"/>
      <c r="E176" s="61"/>
      <c r="F176" s="61"/>
      <c r="G176" s="155"/>
      <c r="H176" s="61"/>
    </row>
    <row r="177" spans="1:8">
      <c r="A177" s="63"/>
      <c r="B177" s="66"/>
      <c r="C177" s="18"/>
      <c r="D177" s="18"/>
      <c r="E177" s="18"/>
      <c r="F177" s="18"/>
      <c r="G177" s="156"/>
      <c r="H177" s="18"/>
    </row>
    <row r="178" spans="1:8" ht="15" thickBot="1">
      <c r="A178" s="63"/>
      <c r="B178" s="66"/>
      <c r="C178" s="18"/>
      <c r="D178" s="87" t="s">
        <v>94</v>
      </c>
      <c r="E178" s="87" t="s">
        <v>93</v>
      </c>
      <c r="F178" s="18"/>
      <c r="G178" s="153" t="s">
        <v>29</v>
      </c>
      <c r="H178" s="18"/>
    </row>
    <row r="179" spans="1:8" ht="15" thickBot="1">
      <c r="A179"/>
      <c r="B179" s="82"/>
      <c r="C179" s="79"/>
      <c r="D179" s="89">
        <v>350</v>
      </c>
      <c r="E179" s="89">
        <v>350</v>
      </c>
      <c r="F179" s="18"/>
      <c r="G179" s="246">
        <f>'Puszka rozprężna'!R43</f>
        <v>134.03430143999998</v>
      </c>
      <c r="H179" s="18"/>
    </row>
    <row r="180" spans="1:8" ht="15" thickBot="1">
      <c r="A180"/>
      <c r="B180" s="68" t="s">
        <v>227</v>
      </c>
      <c r="C180" s="18"/>
      <c r="D180" s="88" t="s">
        <v>61</v>
      </c>
      <c r="E180" s="88" t="s">
        <v>87</v>
      </c>
      <c r="F180" s="87" t="s">
        <v>231</v>
      </c>
      <c r="G180" s="156"/>
      <c r="H180" s="18"/>
    </row>
    <row r="181" spans="1:8" ht="15" thickBot="1">
      <c r="A181" s="63"/>
      <c r="B181" s="66"/>
      <c r="C181" s="18"/>
      <c r="D181" s="71">
        <v>250</v>
      </c>
      <c r="E181" s="71">
        <v>200</v>
      </c>
      <c r="F181" s="71">
        <v>3</v>
      </c>
      <c r="G181" s="156"/>
      <c r="H181" s="18"/>
    </row>
    <row r="182" spans="1:8" ht="15" thickBot="1">
      <c r="A182" s="63"/>
      <c r="B182" s="66"/>
      <c r="C182" s="18"/>
      <c r="D182" s="400" t="s">
        <v>759</v>
      </c>
      <c r="E182" s="87"/>
      <c r="F182" s="69"/>
      <c r="G182" s="87" t="s">
        <v>889</v>
      </c>
      <c r="H182" s="18"/>
    </row>
    <row r="183" spans="1:8" ht="15" thickBot="1">
      <c r="A183" s="63"/>
      <c r="B183" s="66"/>
      <c r="C183" s="18"/>
      <c r="D183" s="404">
        <v>0</v>
      </c>
      <c r="E183" s="91"/>
      <c r="F183" s="91"/>
      <c r="G183" s="448">
        <f>VLOOKUP(E181, 'Ceny składowe'!$H$81:$I$87, 2, FALSE)</f>
        <v>19.2</v>
      </c>
      <c r="H183" s="18"/>
    </row>
    <row r="184" spans="1:8" ht="15" thickBot="1">
      <c r="A184" s="42"/>
      <c r="B184" s="67"/>
      <c r="C184" s="30"/>
      <c r="D184" s="30"/>
      <c r="E184" s="30"/>
      <c r="F184" s="30"/>
      <c r="G184" s="154"/>
      <c r="H184" s="30"/>
    </row>
    <row r="185" spans="1:8">
      <c r="A185" s="60"/>
      <c r="B185" s="65"/>
      <c r="C185" s="61"/>
      <c r="D185" s="61"/>
      <c r="E185" s="61"/>
      <c r="F185" s="61"/>
      <c r="G185" s="155"/>
      <c r="H185" s="61"/>
    </row>
    <row r="186" spans="1:8">
      <c r="A186" s="63"/>
      <c r="B186" s="66"/>
      <c r="C186" s="18"/>
      <c r="D186" s="18"/>
      <c r="E186" s="18"/>
      <c r="F186" s="18"/>
      <c r="G186" s="156"/>
      <c r="H186" s="18"/>
    </row>
    <row r="187" spans="1:8" ht="15" thickBot="1">
      <c r="A187" s="63"/>
      <c r="B187" s="66"/>
      <c r="C187" s="18"/>
      <c r="D187" s="87" t="s">
        <v>94</v>
      </c>
      <c r="E187" s="87" t="s">
        <v>93</v>
      </c>
      <c r="F187" s="18"/>
      <c r="G187" s="153" t="s">
        <v>29</v>
      </c>
      <c r="H187" s="18"/>
    </row>
    <row r="188" spans="1:8" ht="15" thickBot="1">
      <c r="A188"/>
      <c r="B188" s="82"/>
      <c r="C188" s="79"/>
      <c r="D188" s="89">
        <v>505</v>
      </c>
      <c r="E188" s="89">
        <v>210</v>
      </c>
      <c r="F188" s="18"/>
      <c r="G188" s="247">
        <f>'Puszka rozprężna'!X45</f>
        <v>134.33727580000001</v>
      </c>
      <c r="H188" s="18"/>
    </row>
    <row r="189" spans="1:8" ht="15" thickBot="1">
      <c r="A189" s="63"/>
      <c r="B189" s="68" t="s">
        <v>227</v>
      </c>
      <c r="C189" s="18"/>
      <c r="D189" s="88" t="s">
        <v>61</v>
      </c>
      <c r="E189" s="88" t="s">
        <v>87</v>
      </c>
      <c r="F189" s="87" t="s">
        <v>231</v>
      </c>
      <c r="G189" s="156"/>
      <c r="H189" s="18"/>
    </row>
    <row r="190" spans="1:8" ht="15" thickBot="1">
      <c r="A190" s="63"/>
      <c r="B190" s="68" t="s">
        <v>229</v>
      </c>
      <c r="C190" s="18"/>
      <c r="D190" s="71">
        <v>300</v>
      </c>
      <c r="E190" s="71">
        <v>200</v>
      </c>
      <c r="F190" s="71">
        <v>2</v>
      </c>
      <c r="G190" s="156"/>
      <c r="H190" s="18"/>
    </row>
    <row r="191" spans="1:8" ht="15" thickBot="1">
      <c r="A191" s="63"/>
      <c r="B191" s="66"/>
      <c r="C191" s="18"/>
      <c r="D191" s="400" t="s">
        <v>759</v>
      </c>
      <c r="E191" s="87"/>
      <c r="F191" s="69"/>
      <c r="G191" s="87" t="s">
        <v>889</v>
      </c>
      <c r="H191" s="18"/>
    </row>
    <row r="192" spans="1:8" ht="15" thickBot="1">
      <c r="A192" s="63"/>
      <c r="B192" s="66"/>
      <c r="C192" s="18"/>
      <c r="D192" s="404">
        <v>0</v>
      </c>
      <c r="E192" s="91"/>
      <c r="F192" s="91"/>
      <c r="G192" s="448">
        <f>VLOOKUP(E190, 'Ceny składowe'!$H$81:$I$87, 2, FALSE)</f>
        <v>19.2</v>
      </c>
      <c r="H192" s="18"/>
    </row>
    <row r="193" spans="1:8" ht="15" thickBot="1">
      <c r="A193" s="42"/>
      <c r="B193" s="67"/>
      <c r="C193" s="30"/>
      <c r="D193" s="30"/>
      <c r="E193" s="30"/>
      <c r="F193" s="30"/>
      <c r="G193" s="154"/>
      <c r="H193" s="30"/>
    </row>
    <row r="194" spans="1:8" ht="16.2" customHeight="1">
      <c r="A194" s="60"/>
      <c r="B194" s="65"/>
      <c r="C194" s="61"/>
      <c r="D194" s="61"/>
      <c r="E194" s="61"/>
      <c r="F194" s="61"/>
      <c r="G194" s="155"/>
      <c r="H194" s="61"/>
    </row>
    <row r="195" spans="1:8">
      <c r="A195" s="63"/>
      <c r="B195" s="66"/>
      <c r="C195" s="18"/>
      <c r="D195" s="18"/>
      <c r="E195" s="18"/>
      <c r="F195" s="18"/>
      <c r="G195" s="156"/>
      <c r="H195" s="18"/>
    </row>
    <row r="196" spans="1:8" ht="15" thickBot="1">
      <c r="A196" s="63"/>
      <c r="B196" s="66"/>
      <c r="C196" s="18"/>
      <c r="D196" s="87" t="s">
        <v>94</v>
      </c>
      <c r="E196" s="87" t="s">
        <v>93</v>
      </c>
      <c r="F196" s="18"/>
      <c r="G196" s="153" t="s">
        <v>29</v>
      </c>
      <c r="H196" s="18"/>
    </row>
    <row r="197" spans="1:8" ht="15" thickBot="1">
      <c r="A197"/>
      <c r="B197" s="82"/>
      <c r="C197" s="79"/>
      <c r="D197" s="89">
        <v>580</v>
      </c>
      <c r="E197" s="89">
        <v>210</v>
      </c>
      <c r="F197" s="18"/>
      <c r="G197" s="246">
        <f>'Puszka rozprężna'!R87</f>
        <v>170.55212951999999</v>
      </c>
      <c r="H197" s="18"/>
    </row>
    <row r="198" spans="1:8" ht="15" thickBot="1">
      <c r="A198" s="63"/>
      <c r="B198" s="68" t="s">
        <v>227</v>
      </c>
      <c r="C198" s="18"/>
      <c r="D198" s="88" t="s">
        <v>61</v>
      </c>
      <c r="E198" s="88" t="s">
        <v>87</v>
      </c>
      <c r="F198" s="87" t="s">
        <v>231</v>
      </c>
      <c r="G198" s="156"/>
      <c r="H198" s="18"/>
    </row>
    <row r="199" spans="1:8" ht="15" thickBot="1">
      <c r="A199" s="63"/>
      <c r="B199" s="68" t="s">
        <v>323</v>
      </c>
      <c r="C199" s="18"/>
      <c r="D199" s="71">
        <v>150</v>
      </c>
      <c r="E199" s="71">
        <v>160</v>
      </c>
      <c r="F199" s="71">
        <v>3</v>
      </c>
      <c r="G199" s="156"/>
      <c r="H199" s="18"/>
    </row>
    <row r="200" spans="1:8" ht="15" thickBot="1">
      <c r="A200" s="63"/>
      <c r="B200" s="66"/>
      <c r="C200" s="18"/>
      <c r="D200" s="87" t="s">
        <v>512</v>
      </c>
      <c r="E200" s="87"/>
      <c r="F200" s="400" t="s">
        <v>759</v>
      </c>
      <c r="G200" s="87" t="s">
        <v>889</v>
      </c>
      <c r="H200" s="18"/>
    </row>
    <row r="201" spans="1:8" ht="15" thickBot="1">
      <c r="A201" s="63"/>
      <c r="B201" s="66"/>
      <c r="C201" s="18"/>
      <c r="D201" s="402">
        <v>10</v>
      </c>
      <c r="E201" s="270" t="str">
        <f>'Puszka rozprężna'!M82</f>
        <v>KAUCZUK 10MM</v>
      </c>
      <c r="F201" s="404">
        <v>0</v>
      </c>
      <c r="G201" s="448">
        <f>VLOOKUP(E199, 'Ceny składowe'!$H$81:$I$87, 2, FALSE)</f>
        <v>16.8</v>
      </c>
      <c r="H201" s="18"/>
    </row>
    <row r="202" spans="1:8" ht="15" thickBot="1">
      <c r="A202" s="42"/>
      <c r="B202" s="67"/>
      <c r="C202" s="30"/>
      <c r="D202" s="30"/>
      <c r="E202" s="30"/>
      <c r="F202" s="30"/>
      <c r="G202" s="154"/>
      <c r="H202" s="30"/>
    </row>
    <row r="203" spans="1:8">
      <c r="A203" s="60"/>
      <c r="B203" s="65"/>
      <c r="C203" s="61"/>
      <c r="D203" s="61"/>
      <c r="E203" s="61"/>
      <c r="F203" s="61"/>
      <c r="G203" s="155"/>
      <c r="H203" s="61"/>
    </row>
    <row r="204" spans="1:8">
      <c r="A204" s="63"/>
      <c r="B204" s="66"/>
      <c r="C204" s="18"/>
      <c r="D204" s="18"/>
      <c r="E204" s="18"/>
      <c r="F204" s="18"/>
      <c r="G204" s="156"/>
      <c r="H204" s="18"/>
    </row>
    <row r="205" spans="1:8" ht="15" thickBot="1">
      <c r="A205" s="63"/>
      <c r="B205" s="66"/>
      <c r="C205" s="18"/>
      <c r="D205" s="573" t="s">
        <v>94</v>
      </c>
      <c r="E205" s="573" t="s">
        <v>93</v>
      </c>
      <c r="F205" s="18"/>
      <c r="G205" s="153" t="s">
        <v>29</v>
      </c>
    </row>
    <row r="206" spans="1:8" ht="15" thickBot="1">
      <c r="A206"/>
      <c r="B206" s="66"/>
      <c r="C206" s="79"/>
      <c r="D206" s="89">
        <v>340</v>
      </c>
      <c r="E206" s="89">
        <v>240</v>
      </c>
      <c r="F206" s="18"/>
      <c r="G206" s="247">
        <f>'Wyrzutnia ścięta osiatkowana'!P42</f>
        <v>46.587551999999995</v>
      </c>
      <c r="H206" s="37" t="s">
        <v>519</v>
      </c>
    </row>
    <row r="207" spans="1:8">
      <c r="A207" s="63"/>
      <c r="B207" s="68" t="s">
        <v>219</v>
      </c>
      <c r="C207" s="18"/>
      <c r="D207" s="88"/>
      <c r="E207" s="88"/>
      <c r="F207" s="87"/>
      <c r="G207" s="235" t="s">
        <v>405</v>
      </c>
      <c r="H207" s="297">
        <f>(G206-G208)/G208</f>
        <v>1.7877251025295278</v>
      </c>
    </row>
    <row r="208" spans="1:8">
      <c r="A208" s="63"/>
      <c r="B208" s="68"/>
      <c r="C208" s="18"/>
      <c r="D208" s="37"/>
      <c r="E208" s="37"/>
      <c r="F208" s="37"/>
      <c r="G208" s="252">
        <f>'Wyrzutnia ścięta osiatkowana'!O46</f>
        <v>16.711673599999997</v>
      </c>
      <c r="H208" s="18"/>
    </row>
    <row r="209" spans="1:8">
      <c r="A209" s="63"/>
      <c r="B209" s="66"/>
      <c r="C209" s="18"/>
      <c r="D209" s="87"/>
      <c r="E209" s="87"/>
      <c r="F209" s="69"/>
      <c r="H209" s="18"/>
    </row>
    <row r="210" spans="1:8">
      <c r="A210" s="63"/>
      <c r="B210" s="66"/>
      <c r="C210" s="18"/>
      <c r="D210" s="37"/>
      <c r="E210" s="91"/>
      <c r="F210" s="91"/>
      <c r="G210" s="156"/>
      <c r="H210" s="18"/>
    </row>
    <row r="211" spans="1:8" ht="15" thickBot="1">
      <c r="A211" s="42"/>
      <c r="B211" s="67"/>
      <c r="C211" s="30"/>
      <c r="D211" s="30"/>
      <c r="E211" s="30"/>
      <c r="F211" s="30"/>
      <c r="G211" s="154"/>
      <c r="H211" s="30"/>
    </row>
    <row r="212" spans="1:8">
      <c r="A212" s="78"/>
      <c r="B212" s="65"/>
      <c r="C212" s="60"/>
      <c r="D212" s="61"/>
      <c r="E212" s="61"/>
      <c r="F212" s="61"/>
      <c r="G212" s="155"/>
      <c r="H212" s="62"/>
    </row>
    <row r="213" spans="1:8" ht="15" thickBot="1">
      <c r="A213" s="79"/>
      <c r="B213" s="66"/>
      <c r="C213" s="63"/>
      <c r="D213" s="87" t="s">
        <v>94</v>
      </c>
      <c r="E213" s="87" t="s">
        <v>93</v>
      </c>
      <c r="F213" s="18"/>
      <c r="G213" s="153" t="s">
        <v>29</v>
      </c>
    </row>
    <row r="214" spans="1:8" ht="15" thickBot="1">
      <c r="A214" s="79"/>
      <c r="B214" s="66"/>
      <c r="C214" s="63"/>
      <c r="D214" s="89">
        <v>800</v>
      </c>
      <c r="E214" s="89">
        <v>800</v>
      </c>
      <c r="F214" s="18"/>
      <c r="G214" s="246">
        <f>'Wyrzutnia ścięta osiatkowana'!D49</f>
        <v>334.32269936761821</v>
      </c>
      <c r="H214" s="301" t="s">
        <v>519</v>
      </c>
    </row>
    <row r="215" spans="1:8" ht="15" thickBot="1">
      <c r="A215"/>
      <c r="B215" s="68" t="s">
        <v>141</v>
      </c>
      <c r="C215" s="63"/>
      <c r="D215" s="88" t="s">
        <v>61</v>
      </c>
      <c r="E215" s="91"/>
      <c r="F215" s="18"/>
      <c r="G215" s="235" t="s">
        <v>405</v>
      </c>
      <c r="H215" s="297">
        <f>(G214-G216)/G216</f>
        <v>2.6851966646552872</v>
      </c>
    </row>
    <row r="216" spans="1:8" ht="15" thickBot="1">
      <c r="A216" s="79"/>
      <c r="B216" s="68" t="s">
        <v>501</v>
      </c>
      <c r="C216" s="63"/>
      <c r="D216" s="89">
        <v>100</v>
      </c>
      <c r="E216" s="91"/>
      <c r="F216" s="18"/>
      <c r="G216" s="248">
        <f>'Wyrzutnia ścięta osiatkowana'!E53</f>
        <v>90.720449894603036</v>
      </c>
      <c r="H216" s="64"/>
    </row>
    <row r="217" spans="1:8">
      <c r="A217" s="79"/>
      <c r="B217" s="66"/>
      <c r="C217" s="63"/>
      <c r="D217" s="18"/>
      <c r="E217" s="18"/>
      <c r="F217" s="18"/>
      <c r="G217" s="156"/>
      <c r="H217" s="64"/>
    </row>
    <row r="218" spans="1:8" ht="15" thickBot="1">
      <c r="A218" s="80"/>
      <c r="B218" s="67"/>
      <c r="C218" s="42"/>
      <c r="D218" s="30"/>
      <c r="E218" s="30"/>
      <c r="F218" s="30"/>
      <c r="G218" s="154"/>
      <c r="H218" s="43"/>
    </row>
    <row r="219" spans="1:8">
      <c r="A219" s="78"/>
      <c r="B219" s="65"/>
      <c r="C219" s="60"/>
      <c r="D219" s="61"/>
      <c r="E219" s="61"/>
      <c r="F219" s="61"/>
      <c r="G219" s="155"/>
      <c r="H219" s="62"/>
    </row>
    <row r="220" spans="1:8" ht="15" thickBot="1">
      <c r="A220" s="79"/>
      <c r="B220" s="66"/>
      <c r="C220" s="63"/>
      <c r="D220" s="69" t="s">
        <v>87</v>
      </c>
      <c r="E220" s="87"/>
      <c r="F220" s="18"/>
      <c r="G220" s="153" t="s">
        <v>29</v>
      </c>
    </row>
    <row r="221" spans="1:8" ht="15" thickBot="1">
      <c r="A221" s="79"/>
      <c r="B221" s="66"/>
      <c r="C221" s="63"/>
      <c r="D221" s="89">
        <v>500</v>
      </c>
      <c r="E221" s="91"/>
      <c r="F221" s="18"/>
      <c r="G221" s="246">
        <f>INDEX('Wyrzutnia ścięta osiatkowana'!H40:H61, IFERROR(MATCH('Cennik Produkcja '!D221, 'Wyrzutnia ścięta osiatkowana'!G40:G61, 0), MATCH('Cennik Produkcja '!D221, 'Wyrzutnia ścięta osiatkowana'!G40:G61, 1) + 1))</f>
        <v>117.94</v>
      </c>
      <c r="H221" s="302" t="s">
        <v>519</v>
      </c>
    </row>
    <row r="222" spans="1:8" ht="15" thickBot="1">
      <c r="A222"/>
      <c r="B222" s="94" t="s">
        <v>503</v>
      </c>
      <c r="C222" s="63"/>
      <c r="D222" s="88" t="s">
        <v>61</v>
      </c>
      <c r="E222" s="91"/>
      <c r="F222" s="18"/>
      <c r="G222" s="235" t="s">
        <v>405</v>
      </c>
      <c r="H222" s="297">
        <f>(G221-G223)/G223</f>
        <v>2.1169782869717388</v>
      </c>
    </row>
    <row r="223" spans="1:8" ht="15" thickBot="1">
      <c r="A223" s="79"/>
      <c r="B223" s="68" t="s">
        <v>504</v>
      </c>
      <c r="C223" s="63"/>
      <c r="D223" s="89">
        <v>100</v>
      </c>
      <c r="E223" s="91"/>
      <c r="F223" s="18"/>
      <c r="G223" s="248">
        <f>'Wyrzutnia ścięta osiatkowana'!J38</f>
        <v>37.837927999999998</v>
      </c>
      <c r="H223" s="64"/>
    </row>
    <row r="224" spans="1:8">
      <c r="A224" s="79"/>
      <c r="B224" s="66"/>
      <c r="C224" s="63"/>
      <c r="D224" s="18"/>
      <c r="E224" s="18"/>
      <c r="F224" s="18"/>
      <c r="G224" s="156"/>
      <c r="H224" s="64"/>
    </row>
    <row r="225" spans="1:8" ht="15" thickBot="1">
      <c r="A225" s="80"/>
      <c r="B225" s="67"/>
      <c r="C225" s="42"/>
      <c r="D225" s="30"/>
      <c r="E225" s="30"/>
      <c r="F225" s="30"/>
      <c r="G225" s="154"/>
      <c r="H225" s="43"/>
    </row>
    <row r="226" spans="1:8">
      <c r="A226" s="78"/>
      <c r="B226" s="65"/>
      <c r="C226" s="60"/>
      <c r="D226" s="61"/>
      <c r="E226" s="61"/>
      <c r="F226" s="61"/>
      <c r="G226" s="155"/>
      <c r="H226" s="62"/>
    </row>
    <row r="227" spans="1:8">
      <c r="A227" s="79"/>
      <c r="B227" s="66"/>
      <c r="C227" s="63"/>
      <c r="D227" s="18"/>
      <c r="E227" s="18"/>
      <c r="F227" s="18"/>
      <c r="G227" s="156"/>
      <c r="H227" s="64"/>
    </row>
    <row r="228" spans="1:8" ht="15" thickBot="1">
      <c r="A228" s="79"/>
      <c r="B228" s="66"/>
      <c r="C228" s="63"/>
      <c r="D228" s="87" t="s">
        <v>614</v>
      </c>
      <c r="E228" s="87" t="s">
        <v>93</v>
      </c>
      <c r="F228" s="18"/>
      <c r="G228" s="153" t="s">
        <v>29</v>
      </c>
      <c r="H228" s="64"/>
    </row>
    <row r="229" spans="1:8" ht="15" thickBot="1">
      <c r="A229"/>
      <c r="B229" s="68" t="s">
        <v>128</v>
      </c>
      <c r="C229" s="63"/>
      <c r="D229" s="89">
        <v>1060</v>
      </c>
      <c r="E229" s="89">
        <v>158</v>
      </c>
      <c r="F229" s="18"/>
      <c r="G229" s="246">
        <f>Tap!F33</f>
        <v>60</v>
      </c>
      <c r="H229" s="302" t="s">
        <v>519</v>
      </c>
    </row>
    <row r="230" spans="1:8" ht="15" thickBot="1">
      <c r="A230" s="79"/>
      <c r="B230" s="66"/>
      <c r="C230" s="63"/>
      <c r="D230" s="88" t="s">
        <v>61</v>
      </c>
      <c r="E230" s="91"/>
      <c r="F230" s="18"/>
      <c r="G230" s="235" t="s">
        <v>405</v>
      </c>
      <c r="H230" s="297"/>
    </row>
    <row r="231" spans="1:8" ht="15" thickBot="1">
      <c r="A231" s="79"/>
      <c r="B231" s="66"/>
      <c r="C231" s="63"/>
      <c r="D231" s="89">
        <v>150</v>
      </c>
      <c r="E231" s="91"/>
      <c r="F231" s="18"/>
      <c r="G231" s="248"/>
      <c r="H231" s="64"/>
    </row>
    <row r="232" spans="1:8" ht="15" thickBot="1">
      <c r="A232" s="80"/>
      <c r="B232" s="67"/>
      <c r="C232" s="42"/>
      <c r="D232" s="30"/>
      <c r="E232" s="30"/>
      <c r="F232" s="30"/>
      <c r="G232" s="154"/>
      <c r="H232" s="43"/>
    </row>
    <row r="233" spans="1:8">
      <c r="A233" s="78"/>
      <c r="B233" s="65"/>
      <c r="C233" s="60"/>
      <c r="D233" s="61"/>
      <c r="E233" s="61"/>
      <c r="F233" s="61"/>
      <c r="G233" s="155"/>
      <c r="H233" s="62"/>
    </row>
    <row r="234" spans="1:8" ht="15" thickBot="1">
      <c r="A234" s="79"/>
      <c r="B234" s="66"/>
      <c r="C234" s="63"/>
      <c r="D234" s="87" t="s">
        <v>94</v>
      </c>
      <c r="E234" s="87" t="s">
        <v>93</v>
      </c>
      <c r="F234" s="18"/>
      <c r="G234" s="153" t="s">
        <v>29</v>
      </c>
      <c r="H234" s="64"/>
    </row>
    <row r="235" spans="1:8" ht="15" thickBot="1">
      <c r="A235"/>
      <c r="B235" s="66"/>
      <c r="C235" s="63"/>
      <c r="D235" s="89">
        <v>800</v>
      </c>
      <c r="E235" s="89">
        <v>500</v>
      </c>
      <c r="F235" s="18"/>
      <c r="G235" s="246">
        <f>'Podstawa PD'!P38</f>
        <v>676.37594899999988</v>
      </c>
      <c r="H235" s="64"/>
    </row>
    <row r="236" spans="1:8" ht="15" thickBot="1">
      <c r="A236"/>
      <c r="B236" s="68" t="s">
        <v>273</v>
      </c>
      <c r="C236" s="63"/>
      <c r="D236" s="88" t="s">
        <v>61</v>
      </c>
      <c r="E236" s="88"/>
      <c r="F236" s="87"/>
      <c r="G236" s="156"/>
      <c r="H236" s="64"/>
    </row>
    <row r="237" spans="1:8" ht="15" thickBot="1">
      <c r="A237" s="79"/>
      <c r="B237" s="68"/>
      <c r="C237" s="63"/>
      <c r="D237" s="72">
        <v>1500</v>
      </c>
      <c r="E237" s="82"/>
      <c r="F237" s="37"/>
      <c r="G237" s="156"/>
      <c r="H237" s="64"/>
    </row>
    <row r="238" spans="1:8">
      <c r="A238" s="79"/>
      <c r="B238" s="66"/>
      <c r="C238" s="63"/>
      <c r="D238" s="586" t="s">
        <v>620</v>
      </c>
      <c r="E238" s="586"/>
      <c r="F238" s="69"/>
      <c r="G238" s="156"/>
      <c r="H238" s="64"/>
    </row>
    <row r="239" spans="1:8" ht="15" thickBot="1">
      <c r="A239" s="80"/>
      <c r="B239" s="67"/>
      <c r="C239" s="42"/>
      <c r="D239" s="356">
        <f>'Podstawa PD'!L8-60</f>
        <v>1100</v>
      </c>
      <c r="E239" s="356">
        <f>'Podstawa PD'!L9-60</f>
        <v>800</v>
      </c>
      <c r="F239" s="30"/>
      <c r="G239" s="154"/>
      <c r="H239" s="43"/>
    </row>
    <row r="240" spans="1:8">
      <c r="A240" s="78"/>
      <c r="B240" s="65"/>
      <c r="C240" s="60"/>
      <c r="D240" s="61"/>
      <c r="E240" s="61"/>
      <c r="F240" s="61"/>
      <c r="G240" s="155"/>
      <c r="H240" s="62"/>
    </row>
    <row r="241" spans="1:8" ht="15" thickBot="1">
      <c r="A241" s="79"/>
      <c r="B241" s="66"/>
      <c r="C241" s="63"/>
      <c r="D241" s="88" t="s">
        <v>87</v>
      </c>
      <c r="E241" s="88" t="s">
        <v>61</v>
      </c>
      <c r="F241" s="18"/>
      <c r="G241" s="153" t="s">
        <v>29</v>
      </c>
      <c r="H241" s="64"/>
    </row>
    <row r="242" spans="1:8" ht="15" thickBot="1">
      <c r="A242" s="79"/>
      <c r="B242" s="66"/>
      <c r="C242" s="63"/>
      <c r="D242" s="89">
        <v>315</v>
      </c>
      <c r="E242" s="89">
        <v>1000</v>
      </c>
      <c r="F242" s="18"/>
      <c r="G242" s="247">
        <f>'Podstawa dachowa okrągła'!F31</f>
        <v>319.17530670882996</v>
      </c>
      <c r="H242" s="64"/>
    </row>
    <row r="243" spans="1:8" ht="15" thickBot="1">
      <c r="A243"/>
      <c r="B243" s="68" t="s">
        <v>152</v>
      </c>
      <c r="C243" s="63"/>
      <c r="D243" s="87" t="s">
        <v>150</v>
      </c>
      <c r="E243" s="87" t="s">
        <v>151</v>
      </c>
      <c r="F243" s="18"/>
      <c r="G243" s="156"/>
      <c r="H243" s="64"/>
    </row>
    <row r="244" spans="1:8" ht="15" thickBot="1">
      <c r="A244" s="79"/>
      <c r="B244" s="68"/>
      <c r="C244" s="63"/>
      <c r="D244" s="89">
        <v>570</v>
      </c>
      <c r="E244" s="89">
        <v>730</v>
      </c>
      <c r="F244" s="18"/>
      <c r="G244" s="156"/>
      <c r="H244" s="64"/>
    </row>
    <row r="245" spans="1:8">
      <c r="A245" s="79"/>
      <c r="B245" s="66"/>
      <c r="C245" s="63"/>
      <c r="D245" s="586" t="s">
        <v>620</v>
      </c>
      <c r="E245" s="586"/>
      <c r="F245" s="18"/>
      <c r="G245" s="156"/>
      <c r="H245" s="64"/>
    </row>
    <row r="246" spans="1:8" ht="15" thickBot="1">
      <c r="A246" s="80"/>
      <c r="B246" s="67"/>
      <c r="C246" s="42"/>
      <c r="D246" s="356">
        <f>D242+300</f>
        <v>615</v>
      </c>
      <c r="E246" s="356">
        <f>D242+300</f>
        <v>615</v>
      </c>
      <c r="F246" s="30"/>
      <c r="G246" s="154"/>
      <c r="H246" s="43"/>
    </row>
    <row r="247" spans="1:8">
      <c r="A247" s="78"/>
      <c r="B247" s="65"/>
      <c r="C247" s="60"/>
      <c r="D247" s="61"/>
      <c r="E247" s="61"/>
      <c r="F247" s="61"/>
      <c r="G247" s="155"/>
      <c r="H247" s="62"/>
    </row>
    <row r="248" spans="1:8" ht="15" thickBot="1">
      <c r="A248" s="79"/>
      <c r="B248" s="66"/>
      <c r="C248" s="63"/>
      <c r="D248" s="88" t="s">
        <v>87</v>
      </c>
      <c r="E248" s="55" t="s">
        <v>807</v>
      </c>
      <c r="F248" s="18"/>
      <c r="G248" s="153" t="s">
        <v>29</v>
      </c>
      <c r="H248" s="64"/>
    </row>
    <row r="249" spans="1:8" ht="15" thickBot="1">
      <c r="A249" s="79"/>
      <c r="B249" s="66"/>
      <c r="C249" s="63"/>
      <c r="D249" s="89">
        <v>315</v>
      </c>
      <c r="E249" s="89">
        <v>200</v>
      </c>
      <c r="F249" s="18"/>
      <c r="G249" s="246">
        <f>'Podstawa PD'!F31</f>
        <v>148.75698182399995</v>
      </c>
      <c r="H249" s="64"/>
    </row>
    <row r="250" spans="1:8" ht="15" thickBot="1">
      <c r="A250"/>
      <c r="B250" s="68" t="s">
        <v>270</v>
      </c>
      <c r="C250" s="63"/>
      <c r="D250" s="87" t="s">
        <v>94</v>
      </c>
      <c r="E250" s="87" t="s">
        <v>93</v>
      </c>
      <c r="G250" s="156"/>
      <c r="H250" s="64"/>
    </row>
    <row r="251" spans="1:8" ht="15" thickBot="1">
      <c r="A251" s="79"/>
      <c r="B251" s="68"/>
      <c r="C251" s="63"/>
      <c r="D251" s="89">
        <v>410</v>
      </c>
      <c r="E251" s="89">
        <v>410</v>
      </c>
      <c r="G251" s="156"/>
      <c r="H251" s="64"/>
    </row>
    <row r="252" spans="1:8">
      <c r="A252" s="79"/>
      <c r="B252" s="66"/>
      <c r="C252" s="63"/>
      <c r="D252" s="18"/>
      <c r="E252" s="18"/>
      <c r="F252" s="18"/>
      <c r="G252" s="156"/>
      <c r="H252" s="64"/>
    </row>
    <row r="253" spans="1:8" ht="15" thickBot="1">
      <c r="A253" s="80"/>
      <c r="B253" s="67"/>
      <c r="C253" s="42"/>
      <c r="D253" s="30"/>
      <c r="E253" s="30"/>
      <c r="F253" s="30"/>
      <c r="G253" s="154"/>
      <c r="H253" s="43"/>
    </row>
    <row r="254" spans="1:8">
      <c r="A254" s="78"/>
      <c r="B254" s="65"/>
      <c r="C254" s="60"/>
      <c r="D254" s="61"/>
      <c r="E254" s="61"/>
      <c r="F254" s="61"/>
      <c r="G254" s="155"/>
      <c r="H254" s="62"/>
    </row>
    <row r="255" spans="1:8" ht="15" thickBot="1">
      <c r="A255" s="79"/>
      <c r="B255" s="66"/>
      <c r="C255" s="63"/>
      <c r="D255" s="88" t="s">
        <v>87</v>
      </c>
      <c r="E255" s="55" t="s">
        <v>807</v>
      </c>
      <c r="F255" s="18"/>
      <c r="G255" s="153" t="s">
        <v>29</v>
      </c>
      <c r="H255" s="64"/>
    </row>
    <row r="256" spans="1:8" ht="15" thickBot="1">
      <c r="A256" s="79"/>
      <c r="B256" s="66"/>
      <c r="C256" s="63"/>
      <c r="D256" s="89">
        <v>315</v>
      </c>
      <c r="E256" s="89">
        <v>200</v>
      </c>
      <c r="F256" s="18"/>
      <c r="G256" s="246">
        <f>'Podstawa PD'!F63</f>
        <v>246.17653876199998</v>
      </c>
      <c r="H256" s="64"/>
    </row>
    <row r="257" spans="1:8" ht="15" thickBot="1">
      <c r="A257"/>
      <c r="B257" s="68" t="s">
        <v>270</v>
      </c>
      <c r="C257" s="63"/>
      <c r="D257" s="87" t="s">
        <v>94</v>
      </c>
      <c r="E257" s="87" t="s">
        <v>93</v>
      </c>
      <c r="G257" s="156"/>
      <c r="H257" s="64"/>
    </row>
    <row r="258" spans="1:8" ht="15" thickBot="1">
      <c r="A258" s="79"/>
      <c r="B258" s="68" t="s">
        <v>287</v>
      </c>
      <c r="C258" s="63"/>
      <c r="D258" s="89">
        <v>555</v>
      </c>
      <c r="E258" s="89">
        <v>555</v>
      </c>
      <c r="F258" s="422" t="str">
        <f>'Podstawa PD'!A60</f>
        <v>INSUL-ROLL 09</v>
      </c>
      <c r="G258" s="156"/>
      <c r="H258" s="64"/>
    </row>
    <row r="259" spans="1:8">
      <c r="A259" s="79"/>
      <c r="B259" s="68"/>
      <c r="C259" s="63"/>
      <c r="D259" s="18"/>
      <c r="E259" s="18"/>
      <c r="F259" s="18"/>
      <c r="G259" s="156"/>
      <c r="H259" s="64"/>
    </row>
    <row r="260" spans="1:8" ht="15" thickBot="1">
      <c r="A260" s="80"/>
      <c r="B260" s="67"/>
      <c r="C260" s="42"/>
      <c r="D260" s="30"/>
      <c r="E260" s="30"/>
      <c r="F260" s="30"/>
      <c r="G260" s="154"/>
      <c r="H260" s="43"/>
    </row>
    <row r="261" spans="1:8">
      <c r="A261" s="78"/>
      <c r="B261" s="65"/>
      <c r="C261" s="60"/>
      <c r="D261" s="61"/>
      <c r="E261" s="61"/>
      <c r="F261" s="61"/>
      <c r="G261" s="155"/>
      <c r="H261" s="62"/>
    </row>
    <row r="262" spans="1:8" ht="15" thickBot="1">
      <c r="A262" s="79"/>
      <c r="B262" s="66"/>
      <c r="C262" s="63"/>
      <c r="D262" s="87" t="s">
        <v>94</v>
      </c>
      <c r="E262" s="87" t="s">
        <v>93</v>
      </c>
      <c r="F262" s="18"/>
      <c r="G262" s="153" t="s">
        <v>29</v>
      </c>
      <c r="H262" s="64"/>
    </row>
    <row r="263" spans="1:8" ht="15" thickBot="1">
      <c r="A263"/>
      <c r="B263" s="66"/>
      <c r="C263" s="63"/>
      <c r="D263" s="89">
        <v>435</v>
      </c>
      <c r="E263" s="89">
        <v>435</v>
      </c>
      <c r="F263" s="18"/>
      <c r="G263" s="246">
        <f>Przej_dach_okr!F30</f>
        <v>135.10769415999999</v>
      </c>
      <c r="H263" s="64"/>
    </row>
    <row r="264" spans="1:8" ht="15" thickBot="1">
      <c r="A264"/>
      <c r="B264" s="68" t="s">
        <v>282</v>
      </c>
      <c r="C264" s="63"/>
      <c r="D264" s="88" t="s">
        <v>61</v>
      </c>
      <c r="E264" s="88" t="s">
        <v>87</v>
      </c>
      <c r="F264" s="87"/>
      <c r="G264" s="156"/>
      <c r="H264" s="64"/>
    </row>
    <row r="265" spans="1:8" ht="15" thickBot="1">
      <c r="A265" s="79"/>
      <c r="B265" s="68"/>
      <c r="C265" s="63"/>
      <c r="D265" s="89">
        <v>500</v>
      </c>
      <c r="E265" s="89">
        <v>315</v>
      </c>
      <c r="F265" s="37"/>
      <c r="G265" s="156"/>
      <c r="H265" s="64"/>
    </row>
    <row r="266" spans="1:8">
      <c r="A266" s="79"/>
      <c r="B266" s="66"/>
      <c r="C266" s="63"/>
      <c r="D266" s="586" t="s">
        <v>620</v>
      </c>
      <c r="E266" s="586"/>
      <c r="F266" s="69"/>
      <c r="G266" s="156"/>
      <c r="H266" s="64"/>
    </row>
    <row r="267" spans="1:8" ht="15" thickBot="1">
      <c r="A267" s="80"/>
      <c r="B267" s="67"/>
      <c r="C267" s="42"/>
      <c r="D267" s="356">
        <f>E265+400</f>
        <v>715</v>
      </c>
      <c r="E267" s="356">
        <f>E265+400</f>
        <v>715</v>
      </c>
      <c r="F267" s="30"/>
      <c r="G267" s="154"/>
      <c r="H267" s="43"/>
    </row>
    <row r="268" spans="1:8">
      <c r="A268" s="78"/>
      <c r="B268" s="65"/>
      <c r="C268" s="60"/>
      <c r="D268" s="61"/>
      <c r="E268" s="61"/>
      <c r="F268" s="61"/>
      <c r="G268" s="155"/>
      <c r="H268" s="62"/>
    </row>
    <row r="269" spans="1:8" ht="15" thickBot="1">
      <c r="A269" s="79"/>
      <c r="B269" s="66"/>
      <c r="C269" s="63"/>
      <c r="D269" s="88" t="s">
        <v>87</v>
      </c>
      <c r="E269" s="87"/>
      <c r="F269" s="18"/>
      <c r="G269" s="153" t="s">
        <v>29</v>
      </c>
      <c r="H269" s="64"/>
    </row>
    <row r="270" spans="1:8" ht="15" thickBot="1">
      <c r="A270" s="79"/>
      <c r="B270" s="66"/>
      <c r="C270" s="63"/>
      <c r="D270" s="89">
        <v>200</v>
      </c>
      <c r="E270" s="91"/>
      <c r="F270" s="18"/>
      <c r="G270" s="246">
        <f t="array" ref="G270">SUM(IF('Wywietrzak cylindryczny'!D3:D15&gt;0,'Wywietrzak cylindryczny'!E3:E15,""))</f>
        <v>295.89999999999998</v>
      </c>
      <c r="H270" s="64"/>
    </row>
    <row r="271" spans="1:8">
      <c r="A271"/>
      <c r="B271" s="68" t="s">
        <v>235</v>
      </c>
      <c r="C271" s="63"/>
      <c r="D271" s="88"/>
      <c r="F271" s="18"/>
      <c r="G271" s="156"/>
      <c r="H271" s="64"/>
    </row>
    <row r="272" spans="1:8">
      <c r="A272" s="79"/>
      <c r="B272" s="68" t="s">
        <v>248</v>
      </c>
      <c r="C272" s="63"/>
      <c r="F272" s="18"/>
      <c r="G272" s="156"/>
      <c r="H272" s="64"/>
    </row>
    <row r="273" spans="1:8">
      <c r="A273" s="79"/>
      <c r="B273" s="66"/>
      <c r="C273" s="63"/>
      <c r="D273" s="18"/>
      <c r="E273" s="18"/>
      <c r="F273" s="18"/>
      <c r="G273" s="156"/>
      <c r="H273" s="64"/>
    </row>
    <row r="274" spans="1:8" ht="15" thickBot="1">
      <c r="A274" s="80"/>
      <c r="B274" s="67"/>
      <c r="C274" s="42"/>
      <c r="D274" s="30"/>
      <c r="E274" s="30"/>
      <c r="F274" s="30"/>
      <c r="G274" s="154"/>
      <c r="H274" s="43"/>
    </row>
    <row r="275" spans="1:8">
      <c r="A275" s="78"/>
      <c r="B275" s="65"/>
      <c r="C275" s="60"/>
      <c r="D275" s="61"/>
      <c r="E275" s="61"/>
      <c r="F275" s="61"/>
      <c r="G275" s="155"/>
      <c r="H275" s="62"/>
    </row>
    <row r="276" spans="1:8" ht="15" thickBot="1">
      <c r="A276" s="79"/>
      <c r="B276" s="66"/>
      <c r="C276" s="63"/>
      <c r="D276" s="88" t="s">
        <v>87</v>
      </c>
      <c r="E276" s="87"/>
      <c r="F276" s="18"/>
      <c r="G276" s="153" t="s">
        <v>29</v>
      </c>
      <c r="H276" s="64"/>
    </row>
    <row r="277" spans="1:8" ht="15" thickBot="1">
      <c r="A277" s="79"/>
      <c r="B277" s="66"/>
      <c r="C277" s="63"/>
      <c r="D277" s="89">
        <v>315</v>
      </c>
      <c r="E277" s="91"/>
      <c r="F277" s="18"/>
      <c r="G277" s="246">
        <f t="array" ref="G277">SUM(IF(Wyrzutnie!D9:D22&gt;0,Wyrzutnie!G9:G19,""))</f>
        <v>240</v>
      </c>
      <c r="H277" s="64"/>
    </row>
    <row r="278" spans="1:8">
      <c r="A278"/>
      <c r="B278" s="68" t="s">
        <v>245</v>
      </c>
      <c r="C278" s="63"/>
      <c r="D278" s="88"/>
      <c r="F278" s="18"/>
      <c r="G278" s="156"/>
      <c r="H278" s="64"/>
    </row>
    <row r="279" spans="1:8">
      <c r="A279" s="79"/>
      <c r="B279" s="68" t="s">
        <v>249</v>
      </c>
      <c r="C279" s="63"/>
      <c r="F279" s="18"/>
      <c r="G279" s="156"/>
      <c r="H279" s="64"/>
    </row>
    <row r="280" spans="1:8">
      <c r="A280" s="79"/>
      <c r="B280" s="66"/>
      <c r="C280" s="63"/>
      <c r="D280" s="18"/>
      <c r="E280" s="18"/>
      <c r="F280" s="18"/>
      <c r="G280" s="156"/>
      <c r="H280" s="64"/>
    </row>
    <row r="281" spans="1:8" ht="15" thickBot="1">
      <c r="A281" s="80"/>
      <c r="B281" s="67"/>
      <c r="C281" s="42"/>
      <c r="D281" s="30"/>
      <c r="E281" s="30"/>
      <c r="F281" s="30"/>
      <c r="G281" s="154"/>
      <c r="H281" s="43"/>
    </row>
    <row r="282" spans="1:8">
      <c r="A282" s="78"/>
      <c r="B282" s="65"/>
      <c r="C282" s="60"/>
      <c r="D282" s="61"/>
      <c r="E282" s="61"/>
      <c r="F282" s="61"/>
      <c r="G282" s="155"/>
      <c r="H282" s="62"/>
    </row>
    <row r="283" spans="1:8" ht="15" thickBot="1">
      <c r="A283" s="79"/>
      <c r="B283" s="66"/>
      <c r="C283" s="63"/>
      <c r="D283" s="87" t="s">
        <v>561</v>
      </c>
      <c r="E283" s="87" t="s">
        <v>93</v>
      </c>
      <c r="F283" s="18"/>
      <c r="G283" s="153" t="s">
        <v>29</v>
      </c>
      <c r="H283" s="64"/>
    </row>
    <row r="284" spans="1:8" ht="15" thickBot="1">
      <c r="A284" s="79"/>
      <c r="B284" s="66"/>
      <c r="C284" s="63"/>
      <c r="D284" s="89">
        <v>215</v>
      </c>
      <c r="E284" s="89">
        <v>215</v>
      </c>
      <c r="F284" s="18"/>
      <c r="G284" s="246">
        <f>Wyrzutnie!F70</f>
        <v>123.90170123999998</v>
      </c>
      <c r="H284" s="64"/>
    </row>
    <row r="285" spans="1:8" ht="15" thickBot="1">
      <c r="A285"/>
      <c r="B285" s="68" t="s">
        <v>562</v>
      </c>
      <c r="C285" s="63"/>
      <c r="D285" s="88" t="s">
        <v>61</v>
      </c>
      <c r="F285" s="18"/>
      <c r="G285" s="156"/>
      <c r="H285" s="64"/>
    </row>
    <row r="286" spans="1:8" ht="15" thickBot="1">
      <c r="A286" s="79"/>
      <c r="B286" s="68" t="s">
        <v>558</v>
      </c>
      <c r="C286" s="63"/>
      <c r="D286" s="89">
        <v>400</v>
      </c>
      <c r="F286" s="18"/>
      <c r="G286" s="156"/>
      <c r="H286" s="64"/>
    </row>
    <row r="287" spans="1:8">
      <c r="A287" s="79"/>
      <c r="B287" s="66"/>
      <c r="C287" s="63"/>
      <c r="D287" s="18"/>
      <c r="E287" s="18"/>
      <c r="F287" s="18"/>
      <c r="G287" s="156"/>
      <c r="H287" s="64"/>
    </row>
    <row r="288" spans="1:8" ht="15" thickBot="1">
      <c r="A288" s="80"/>
      <c r="B288" s="67"/>
      <c r="C288" s="42"/>
      <c r="D288" s="30"/>
      <c r="E288" s="30"/>
      <c r="F288" s="30"/>
      <c r="G288" s="154"/>
      <c r="H288" s="43"/>
    </row>
    <row r="289" spans="1:8">
      <c r="A289" s="78"/>
      <c r="B289" s="65"/>
      <c r="C289" s="60"/>
      <c r="D289" s="61"/>
      <c r="E289" s="61"/>
      <c r="F289" s="61"/>
      <c r="G289" s="155"/>
      <c r="H289" s="62"/>
    </row>
    <row r="290" spans="1:8">
      <c r="A290" s="79"/>
      <c r="B290" s="66"/>
      <c r="C290" s="63"/>
      <c r="H290" s="64"/>
    </row>
    <row r="291" spans="1:8" ht="15" thickBot="1">
      <c r="A291" s="79"/>
      <c r="B291" s="66"/>
      <c r="C291" s="63"/>
      <c r="D291" s="87" t="s">
        <v>166</v>
      </c>
      <c r="E291" s="87" t="s">
        <v>167</v>
      </c>
      <c r="F291" s="18"/>
      <c r="G291" s="153" t="s">
        <v>29</v>
      </c>
      <c r="H291" s="64"/>
    </row>
    <row r="292" spans="1:8" ht="15" thickBot="1">
      <c r="A292"/>
      <c r="B292" s="94" t="s">
        <v>164</v>
      </c>
      <c r="C292" s="63"/>
      <c r="D292" s="89">
        <v>500</v>
      </c>
      <c r="E292" s="89">
        <v>200</v>
      </c>
      <c r="F292" s="18"/>
      <c r="G292" s="246">
        <f>'Kołnierz elastyczny'!F27</f>
        <v>99.619399999999999</v>
      </c>
      <c r="H292" s="302" t="s">
        <v>519</v>
      </c>
    </row>
    <row r="293" spans="1:8">
      <c r="A293" s="79"/>
      <c r="B293" s="68"/>
      <c r="C293" s="63"/>
      <c r="D293" s="91"/>
      <c r="E293" s="91"/>
      <c r="F293" s="18"/>
      <c r="G293" s="235" t="s">
        <v>405</v>
      </c>
      <c r="H293" s="297">
        <f>(G292-G294)/G294</f>
        <v>2.3581723395973411</v>
      </c>
    </row>
    <row r="294" spans="1:8">
      <c r="A294" s="79"/>
      <c r="B294" s="66"/>
      <c r="C294" s="63"/>
      <c r="D294" s="18"/>
      <c r="E294" s="18"/>
      <c r="F294" s="18"/>
      <c r="G294" s="248">
        <f>'Kołnierz elastyczny'!F31</f>
        <v>29.664767000000001</v>
      </c>
      <c r="H294" s="64"/>
    </row>
    <row r="295" spans="1:8" ht="15" thickBot="1">
      <c r="A295" s="80"/>
      <c r="B295" s="67"/>
      <c r="C295" s="42"/>
      <c r="D295" s="30"/>
      <c r="E295" s="30"/>
      <c r="F295" s="30"/>
      <c r="G295" s="154"/>
      <c r="H295" s="43"/>
    </row>
    <row r="296" spans="1:8">
      <c r="A296" s="78"/>
      <c r="B296" s="65"/>
      <c r="C296" s="60"/>
      <c r="D296" s="61"/>
      <c r="E296" s="61"/>
      <c r="F296" s="233"/>
      <c r="G296" s="155"/>
      <c r="H296" s="62"/>
    </row>
    <row r="297" spans="1:8">
      <c r="A297" s="79"/>
      <c r="B297" s="66"/>
      <c r="C297" s="63"/>
      <c r="H297" s="64"/>
    </row>
    <row r="298" spans="1:8" ht="15" thickBot="1">
      <c r="A298" s="79"/>
      <c r="B298" s="66"/>
      <c r="C298" s="63"/>
      <c r="D298" s="69" t="s">
        <v>87</v>
      </c>
      <c r="E298" s="87"/>
      <c r="F298" s="18"/>
      <c r="G298" s="153" t="s">
        <v>29</v>
      </c>
      <c r="H298" s="64"/>
    </row>
    <row r="299" spans="1:8" ht="15" thickBot="1">
      <c r="A299"/>
      <c r="B299" s="94" t="s">
        <v>165</v>
      </c>
      <c r="C299" s="63"/>
      <c r="D299" s="89">
        <v>250</v>
      </c>
      <c r="E299" s="18"/>
      <c r="F299" s="18"/>
      <c r="G299" s="246">
        <f t="array" ref="G299">SUM(IF('Kołnierz elastyczny'!O6:O23='Kołnierz elastyczny'!J6,'Kołnierz elastyczny'!P6:P23,""))</f>
        <v>39.79</v>
      </c>
      <c r="H299" s="302" t="s">
        <v>519</v>
      </c>
    </row>
    <row r="300" spans="1:8">
      <c r="A300" s="79"/>
      <c r="B300" s="66"/>
      <c r="C300" s="63"/>
      <c r="D300" s="91"/>
      <c r="E300" s="91"/>
      <c r="F300" s="18"/>
      <c r="G300" s="235" t="s">
        <v>405</v>
      </c>
      <c r="H300" s="297">
        <f>(G299-G301)/G301</f>
        <v>2.6034126917284519</v>
      </c>
    </row>
    <row r="301" spans="1:8">
      <c r="A301" s="79"/>
      <c r="B301" s="66"/>
      <c r="C301" s="63"/>
      <c r="D301" s="18"/>
      <c r="E301" s="18"/>
      <c r="F301" s="18"/>
      <c r="G301" s="248">
        <f>'Kołnierz elastyczny'!M27</f>
        <v>11.042309999999999</v>
      </c>
      <c r="H301" s="64"/>
    </row>
    <row r="302" spans="1:8" ht="15" thickBot="1">
      <c r="A302" s="80"/>
      <c r="B302" s="67"/>
      <c r="C302" s="42"/>
      <c r="D302" s="30"/>
      <c r="E302" s="30"/>
      <c r="F302" s="30"/>
      <c r="G302" s="154"/>
      <c r="H302" s="43"/>
    </row>
    <row r="303" spans="1:8">
      <c r="A303" s="78"/>
      <c r="B303" s="65"/>
      <c r="C303" s="60"/>
      <c r="D303" s="61"/>
      <c r="E303" s="61"/>
      <c r="F303" s="61"/>
      <c r="G303" s="155"/>
      <c r="H303" s="62"/>
    </row>
    <row r="304" spans="1:8">
      <c r="A304" s="79"/>
      <c r="B304" s="66"/>
      <c r="C304" s="63"/>
      <c r="D304" s="18"/>
      <c r="E304" s="18"/>
      <c r="F304" s="18"/>
      <c r="G304" s="156"/>
      <c r="H304" s="64"/>
    </row>
    <row r="305" spans="1:8" ht="15" thickBot="1">
      <c r="A305"/>
      <c r="B305" s="66"/>
      <c r="C305" s="63"/>
      <c r="D305" s="69" t="s">
        <v>87</v>
      </c>
      <c r="E305" s="18"/>
      <c r="F305" s="18"/>
      <c r="G305" s="153" t="s">
        <v>29</v>
      </c>
      <c r="H305" s="64"/>
    </row>
    <row r="306" spans="1:8" ht="16.95" customHeight="1" thickBot="1">
      <c r="A306" s="79"/>
      <c r="B306" s="68" t="s">
        <v>139</v>
      </c>
      <c r="C306" s="63"/>
      <c r="D306" s="89">
        <v>500</v>
      </c>
      <c r="E306" s="18"/>
      <c r="F306" s="18"/>
      <c r="G306" s="246">
        <f>VLOOKUP(D306,Kolar_Nypel_Mufa!G6:H23,2,TRUE)</f>
        <v>21.31</v>
      </c>
      <c r="H306" s="64"/>
    </row>
    <row r="307" spans="1:8" ht="15" thickBot="1">
      <c r="A307" s="79"/>
      <c r="B307" s="66"/>
      <c r="C307" s="63"/>
      <c r="D307" s="322" t="s">
        <v>319</v>
      </c>
      <c r="E307" s="18"/>
      <c r="F307" s="18"/>
      <c r="G307" s="156"/>
      <c r="H307" s="64"/>
    </row>
    <row r="308" spans="1:8" ht="15" thickBot="1">
      <c r="A308" s="79"/>
      <c r="B308" s="66"/>
      <c r="C308" s="63"/>
      <c r="D308" s="353">
        <f>Kolar_Nypel_Mufa!C20</f>
        <v>0.86036000000000001</v>
      </c>
      <c r="E308" s="323" t="s">
        <v>17</v>
      </c>
      <c r="H308" s="64"/>
    </row>
    <row r="309" spans="1:8" ht="15" thickBot="1">
      <c r="A309" s="80"/>
      <c r="B309" s="67"/>
      <c r="C309" s="42"/>
      <c r="D309" s="30"/>
      <c r="E309" s="30"/>
      <c r="F309" s="30"/>
      <c r="G309" s="154"/>
      <c r="H309" s="43"/>
    </row>
    <row r="310" spans="1:8">
      <c r="A310" s="78"/>
      <c r="B310" s="65"/>
      <c r="C310" s="60"/>
      <c r="D310" s="61"/>
      <c r="E310" s="61"/>
      <c r="F310" s="61"/>
      <c r="G310" s="155"/>
      <c r="H310" s="62"/>
    </row>
    <row r="311" spans="1:8">
      <c r="A311" s="79"/>
      <c r="B311" s="66"/>
      <c r="C311" s="63"/>
      <c r="H311" s="64"/>
    </row>
    <row r="312" spans="1:8" ht="15" thickBot="1">
      <c r="A312" s="79"/>
      <c r="B312" s="66"/>
      <c r="C312" s="63"/>
      <c r="D312" s="69" t="s">
        <v>87</v>
      </c>
      <c r="E312" s="87"/>
      <c r="F312" s="18"/>
      <c r="G312" s="153" t="s">
        <v>29</v>
      </c>
      <c r="H312" s="64"/>
    </row>
    <row r="313" spans="1:8" ht="15" thickBot="1">
      <c r="A313" s="79"/>
      <c r="B313" s="94" t="s">
        <v>177</v>
      </c>
      <c r="C313" s="63"/>
      <c r="D313" s="89">
        <v>150</v>
      </c>
      <c r="E313" s="18"/>
      <c r="F313" s="18"/>
      <c r="G313" s="247">
        <f xml:space="preserve"> VLOOKUP(D313,'Kolar osiatkowany ILS'!H10:I27,2,TRUE)</f>
        <v>11.44</v>
      </c>
      <c r="H313" s="302" t="s">
        <v>519</v>
      </c>
    </row>
    <row r="314" spans="1:8">
      <c r="A314" s="79"/>
      <c r="B314" s="66"/>
      <c r="C314" s="63"/>
      <c r="D314" s="91"/>
      <c r="E314" s="91"/>
      <c r="F314" s="18"/>
      <c r="G314" s="235" t="s">
        <v>405</v>
      </c>
      <c r="H314" s="297">
        <f>(G313-G315)/G315</f>
        <v>0.69324593089913089</v>
      </c>
    </row>
    <row r="315" spans="1:8">
      <c r="A315" s="79"/>
      <c r="B315" s="66"/>
      <c r="C315" s="63"/>
      <c r="D315" s="18"/>
      <c r="E315" s="18"/>
      <c r="F315" s="18"/>
      <c r="G315" s="248">
        <f>'Kolar osiatkowany ILS'!F26</f>
        <v>6.7562542399999996</v>
      </c>
      <c r="H315" s="64"/>
    </row>
    <row r="316" spans="1:8" ht="15" thickBot="1">
      <c r="A316" s="80"/>
      <c r="B316" s="67"/>
      <c r="C316" s="42"/>
      <c r="D316" s="30"/>
      <c r="E316" s="30"/>
      <c r="F316" s="30"/>
      <c r="G316" s="154"/>
      <c r="H316" s="43"/>
    </row>
    <row r="317" spans="1:8">
      <c r="A317" s="78"/>
      <c r="B317" s="65"/>
      <c r="C317" s="60"/>
      <c r="D317" s="61"/>
      <c r="E317" s="61"/>
      <c r="F317" s="61"/>
      <c r="G317" s="155"/>
      <c r="H317" s="62"/>
    </row>
    <row r="318" spans="1:8" ht="15" thickBot="1">
      <c r="A318" s="79"/>
      <c r="B318" s="66"/>
      <c r="C318" s="63"/>
      <c r="D318" s="87" t="s">
        <v>94</v>
      </c>
      <c r="E318" s="87" t="s">
        <v>93</v>
      </c>
      <c r="F318" s="18"/>
      <c r="G318" s="153" t="s">
        <v>29</v>
      </c>
      <c r="H318" s="64"/>
    </row>
    <row r="319" spans="1:8" ht="15" thickBot="1">
      <c r="A319" s="79"/>
      <c r="B319" s="66"/>
      <c r="C319" s="63"/>
      <c r="D319" s="89">
        <v>470</v>
      </c>
      <c r="E319" s="89">
        <v>470</v>
      </c>
      <c r="F319" s="18"/>
      <c r="G319" s="246">
        <f>'Ramka do kanałów'!I29</f>
        <v>16.6808412</v>
      </c>
      <c r="H319" s="64"/>
    </row>
    <row r="320" spans="1:8">
      <c r="A320"/>
      <c r="B320" s="68" t="s">
        <v>306</v>
      </c>
      <c r="C320" s="63"/>
      <c r="D320" s="88"/>
      <c r="E320" s="88"/>
      <c r="F320" s="18"/>
      <c r="G320" s="156"/>
      <c r="H320" s="64"/>
    </row>
    <row r="321" spans="1:8">
      <c r="A321" s="79"/>
      <c r="B321" s="68"/>
      <c r="C321" s="63"/>
      <c r="D321" s="91"/>
      <c r="E321" s="91"/>
      <c r="F321" s="18"/>
      <c r="G321" s="156"/>
      <c r="H321" s="64"/>
    </row>
    <row r="322" spans="1:8">
      <c r="A322" s="79"/>
      <c r="B322" s="66"/>
      <c r="C322" s="63"/>
      <c r="D322" s="18"/>
      <c r="E322" s="18"/>
      <c r="F322" s="18"/>
      <c r="G322" s="156"/>
      <c r="H322" s="64"/>
    </row>
    <row r="323" spans="1:8" ht="15" thickBot="1">
      <c r="A323" s="80"/>
      <c r="B323" s="67"/>
      <c r="C323" s="42"/>
      <c r="D323" s="30"/>
      <c r="E323" s="30"/>
      <c r="F323" s="30"/>
      <c r="G323" s="154"/>
      <c r="H323" s="43"/>
    </row>
    <row r="324" spans="1:8">
      <c r="A324" s="78"/>
      <c r="B324" s="65"/>
      <c r="C324" s="60"/>
      <c r="D324" s="61"/>
      <c r="E324" s="61"/>
      <c r="F324" s="61"/>
      <c r="G324" s="155"/>
      <c r="H324" s="62"/>
    </row>
    <row r="325" spans="1:8" ht="15" thickBot="1">
      <c r="A325" s="79"/>
      <c r="B325" s="66"/>
      <c r="C325" s="63"/>
      <c r="D325" s="87" t="s">
        <v>94</v>
      </c>
      <c r="E325" s="87" t="s">
        <v>93</v>
      </c>
      <c r="F325" s="18"/>
      <c r="G325" s="153" t="s">
        <v>29</v>
      </c>
      <c r="H325" s="64"/>
    </row>
    <row r="326" spans="1:8" ht="15" thickBot="1">
      <c r="A326"/>
      <c r="B326" s="66"/>
      <c r="C326" s="63"/>
      <c r="D326" s="89">
        <v>795</v>
      </c>
      <c r="E326" s="89">
        <v>195</v>
      </c>
      <c r="F326" s="18"/>
      <c r="G326" s="246">
        <f>'Filtr '!E34</f>
        <v>49.381289443749992</v>
      </c>
      <c r="H326" s="302" t="s">
        <v>519</v>
      </c>
    </row>
    <row r="327" spans="1:8" ht="15" thickBot="1">
      <c r="A327" s="79"/>
      <c r="B327" s="68" t="s">
        <v>502</v>
      </c>
      <c r="C327" s="63"/>
      <c r="D327" s="88" t="s">
        <v>61</v>
      </c>
      <c r="E327" s="91"/>
      <c r="F327" s="18"/>
      <c r="G327" s="235" t="s">
        <v>405</v>
      </c>
      <c r="H327" s="297">
        <f>(G326-G328)/G328</f>
        <v>1.0499999999999996</v>
      </c>
    </row>
    <row r="328" spans="1:8" ht="15" thickBot="1">
      <c r="A328" s="79"/>
      <c r="B328" s="66"/>
      <c r="C328" s="63"/>
      <c r="D328" s="89">
        <v>50</v>
      </c>
      <c r="E328" s="91"/>
      <c r="F328" s="18"/>
      <c r="G328" s="248">
        <f>'Filtr '!E38</f>
        <v>24.088433875</v>
      </c>
      <c r="H328" s="64"/>
    </row>
    <row r="329" spans="1:8">
      <c r="A329" s="79"/>
      <c r="B329" s="66"/>
      <c r="C329" s="63"/>
      <c r="D329" s="18"/>
      <c r="E329" s="18"/>
      <c r="F329" s="18"/>
      <c r="G329" s="156"/>
      <c r="H329" s="64"/>
    </row>
    <row r="330" spans="1:8" ht="15" thickBot="1">
      <c r="A330" s="80"/>
      <c r="B330" s="67"/>
      <c r="C330" s="42"/>
      <c r="D330" s="30"/>
      <c r="E330" s="30"/>
      <c r="F330" s="30"/>
      <c r="G330" s="154"/>
      <c r="H330" s="43"/>
    </row>
    <row r="331" spans="1:8">
      <c r="A331" s="78"/>
      <c r="B331" s="65"/>
      <c r="C331" s="60"/>
      <c r="D331" s="61"/>
      <c r="E331" s="61"/>
      <c r="F331" s="61"/>
      <c r="G331" s="155"/>
      <c r="H331" s="62"/>
    </row>
    <row r="332" spans="1:8" ht="15" thickBot="1">
      <c r="A332" s="79"/>
      <c r="B332" s="66"/>
      <c r="C332" s="285"/>
      <c r="D332" s="87" t="s">
        <v>94</v>
      </c>
      <c r="E332" s="87" t="s">
        <v>93</v>
      </c>
      <c r="F332" s="18"/>
      <c r="G332" s="153" t="s">
        <v>29</v>
      </c>
      <c r="H332" s="64"/>
    </row>
    <row r="333" spans="1:8" ht="16.95" customHeight="1" thickBot="1">
      <c r="A333"/>
      <c r="B333" s="66"/>
      <c r="C333" s="285"/>
      <c r="D333" s="89">
        <v>395</v>
      </c>
      <c r="E333" s="89">
        <v>770</v>
      </c>
      <c r="F333" s="18"/>
      <c r="G333" s="246">
        <f>'Filtr '!L33</f>
        <v>41.890233127907287</v>
      </c>
      <c r="H333" s="302" t="s">
        <v>519</v>
      </c>
    </row>
    <row r="334" spans="1:8" ht="18.600000000000001" customHeight="1" thickBot="1">
      <c r="A334" s="79"/>
      <c r="B334" s="68" t="s">
        <v>547</v>
      </c>
      <c r="C334" s="63"/>
      <c r="D334" s="88" t="s">
        <v>61</v>
      </c>
      <c r="E334" s="87" t="s">
        <v>613</v>
      </c>
      <c r="F334" s="18"/>
      <c r="G334" s="235" t="s">
        <v>405</v>
      </c>
      <c r="H334" s="297">
        <f>(G333-G335)/G335</f>
        <v>0.80000000000000016</v>
      </c>
    </row>
    <row r="335" spans="1:8" ht="15" thickBot="1">
      <c r="A335" s="79"/>
      <c r="B335" s="66"/>
      <c r="C335" s="63"/>
      <c r="D335" s="89">
        <v>145</v>
      </c>
      <c r="E335" s="405" t="s">
        <v>958</v>
      </c>
      <c r="F335" s="18"/>
      <c r="G335" s="248">
        <f>'Filtr '!L38</f>
        <v>23.272351737726268</v>
      </c>
      <c r="H335" s="64"/>
    </row>
    <row r="336" spans="1:8">
      <c r="A336" s="79"/>
      <c r="B336" s="66"/>
      <c r="C336" s="63"/>
      <c r="D336" s="18"/>
      <c r="E336" s="18"/>
      <c r="F336" s="18"/>
      <c r="G336" s="156"/>
      <c r="H336" s="64"/>
    </row>
    <row r="337" spans="1:8" ht="15" customHeight="1" thickBot="1">
      <c r="A337" s="80"/>
      <c r="B337" s="67"/>
      <c r="C337" s="42"/>
      <c r="D337" s="30"/>
      <c r="E337" s="30"/>
      <c r="F337" s="30"/>
      <c r="G337" s="154"/>
      <c r="H337" s="43"/>
    </row>
    <row r="338" spans="1:8">
      <c r="A338" s="78"/>
      <c r="B338" s="65"/>
      <c r="C338" s="60"/>
      <c r="D338" s="61"/>
      <c r="E338" s="61"/>
      <c r="F338" s="61"/>
      <c r="G338" s="155"/>
      <c r="H338" s="62"/>
    </row>
    <row r="339" spans="1:8" ht="15" thickBot="1">
      <c r="A339" s="79"/>
      <c r="B339" s="66"/>
      <c r="C339" s="63"/>
      <c r="D339" s="87" t="s">
        <v>94</v>
      </c>
      <c r="E339" s="87" t="s">
        <v>93</v>
      </c>
      <c r="F339" s="18"/>
      <c r="G339" s="153" t="s">
        <v>29</v>
      </c>
      <c r="H339" s="64"/>
    </row>
    <row r="340" spans="1:8" ht="15" thickBot="1">
      <c r="A340" s="79"/>
      <c r="B340" s="66"/>
      <c r="C340" s="63"/>
      <c r="D340" s="89">
        <v>1200</v>
      </c>
      <c r="E340" s="89">
        <v>600</v>
      </c>
      <c r="F340" s="18"/>
      <c r="G340" s="246">
        <f>'Puszka filtracyjna'!F33</f>
        <v>399.24582294117647</v>
      </c>
      <c r="H340" s="64"/>
    </row>
    <row r="341" spans="1:8" ht="19.95" customHeight="1" thickBot="1">
      <c r="A341"/>
      <c r="B341" s="68" t="s">
        <v>202</v>
      </c>
      <c r="C341" s="63"/>
      <c r="D341" s="88" t="s">
        <v>61</v>
      </c>
      <c r="E341" s="91"/>
      <c r="F341" s="18"/>
      <c r="G341" s="156"/>
      <c r="H341" s="64"/>
    </row>
    <row r="342" spans="1:8" ht="15" thickBot="1">
      <c r="A342" s="79"/>
      <c r="B342" s="68" t="s">
        <v>247</v>
      </c>
      <c r="C342" s="63"/>
      <c r="D342" s="89">
        <v>600</v>
      </c>
      <c r="E342" s="91"/>
      <c r="F342" s="18"/>
      <c r="G342" s="156"/>
      <c r="H342" s="64"/>
    </row>
    <row r="343" spans="1:8">
      <c r="A343" s="79"/>
      <c r="B343" s="66"/>
      <c r="C343" s="63"/>
      <c r="D343" s="18"/>
      <c r="E343" s="18"/>
      <c r="F343" s="18"/>
      <c r="G343" s="156"/>
      <c r="H343" s="64"/>
    </row>
    <row r="344" spans="1:8" ht="15" thickBot="1">
      <c r="A344" s="80"/>
      <c r="B344" s="67"/>
      <c r="C344" s="42"/>
      <c r="D344" s="30"/>
      <c r="E344" s="30"/>
      <c r="F344" s="30"/>
      <c r="G344" s="154"/>
      <c r="H344" s="43"/>
    </row>
    <row r="345" spans="1:8">
      <c r="A345" s="78"/>
      <c r="B345" s="65"/>
      <c r="C345" s="60"/>
      <c r="D345" s="61"/>
      <c r="E345" s="61"/>
      <c r="F345" s="61"/>
      <c r="G345" s="155"/>
      <c r="H345" s="62"/>
    </row>
    <row r="346" spans="1:8" ht="15" thickBot="1">
      <c r="A346" s="79"/>
      <c r="B346" s="66"/>
      <c r="C346" s="63"/>
      <c r="D346" s="87" t="s">
        <v>94</v>
      </c>
      <c r="E346" s="87" t="s">
        <v>93</v>
      </c>
      <c r="F346" s="18"/>
      <c r="G346" s="153" t="s">
        <v>29</v>
      </c>
      <c r="H346" s="64"/>
    </row>
    <row r="347" spans="1:8" ht="15" thickBot="1">
      <c r="A347" s="79"/>
      <c r="B347" s="66"/>
      <c r="C347" s="63"/>
      <c r="D347" s="89">
        <v>400</v>
      </c>
      <c r="E347" s="89">
        <v>780</v>
      </c>
      <c r="F347" s="18"/>
      <c r="G347" s="246">
        <f>'Puszka filtracyjna'!M32</f>
        <v>236.08985871811768</v>
      </c>
      <c r="H347" s="64"/>
    </row>
    <row r="348" spans="1:8" ht="15" thickBot="1">
      <c r="A348"/>
      <c r="B348" s="68" t="s">
        <v>297</v>
      </c>
      <c r="C348" s="63"/>
      <c r="D348" s="88" t="s">
        <v>61</v>
      </c>
      <c r="E348" s="88" t="s">
        <v>87</v>
      </c>
      <c r="F348" s="18"/>
      <c r="G348" s="156"/>
      <c r="H348" s="64"/>
    </row>
    <row r="349" spans="1:8" ht="15" thickBot="1">
      <c r="A349" s="79"/>
      <c r="B349" s="68" t="s">
        <v>247</v>
      </c>
      <c r="C349" s="63"/>
      <c r="D349" s="89">
        <v>150</v>
      </c>
      <c r="E349" s="89">
        <v>355</v>
      </c>
      <c r="F349" s="18"/>
      <c r="G349" s="156"/>
      <c r="H349" s="64"/>
    </row>
    <row r="350" spans="1:8">
      <c r="A350" s="79"/>
      <c r="B350" s="66"/>
      <c r="C350" s="63"/>
      <c r="D350" s="18"/>
      <c r="E350" s="18"/>
      <c r="F350" s="18"/>
      <c r="G350" s="156"/>
      <c r="H350" s="64"/>
    </row>
    <row r="351" spans="1:8" ht="15" thickBot="1">
      <c r="A351" s="80"/>
      <c r="B351" s="67"/>
      <c r="C351" s="42"/>
      <c r="D351" s="30"/>
      <c r="E351" s="30"/>
      <c r="F351" s="30"/>
      <c r="G351" s="154"/>
      <c r="H351" s="43"/>
    </row>
    <row r="352" spans="1:8">
      <c r="A352" s="78"/>
      <c r="B352" s="65"/>
      <c r="C352" s="60"/>
      <c r="D352" s="61"/>
      <c r="E352" s="61"/>
      <c r="F352" s="61"/>
      <c r="G352" s="155"/>
      <c r="H352" s="62"/>
    </row>
    <row r="353" spans="1:8" ht="15" thickBot="1">
      <c r="A353" s="79"/>
      <c r="B353" s="66"/>
      <c r="C353" s="63"/>
      <c r="D353" s="87" t="s">
        <v>94</v>
      </c>
      <c r="E353" s="87" t="s">
        <v>93</v>
      </c>
      <c r="F353" s="18"/>
      <c r="G353" s="153" t="s">
        <v>29</v>
      </c>
      <c r="H353" s="64"/>
    </row>
    <row r="354" spans="1:8" ht="15" thickBot="1">
      <c r="A354" s="79"/>
      <c r="B354" s="66"/>
      <c r="C354" s="63"/>
      <c r="D354" s="89">
        <v>680</v>
      </c>
      <c r="E354" s="89">
        <v>680</v>
      </c>
      <c r="F354" s="18"/>
      <c r="G354" s="246">
        <f>'Kanał osiatkowany'!F33</f>
        <v>75.199594600000012</v>
      </c>
      <c r="H354" s="64"/>
    </row>
    <row r="355" spans="1:8" ht="15" thickBot="1">
      <c r="A355"/>
      <c r="B355" s="68" t="s">
        <v>308</v>
      </c>
      <c r="C355" s="63"/>
      <c r="D355" s="88" t="s">
        <v>61</v>
      </c>
      <c r="E355" s="88"/>
      <c r="F355" s="18"/>
      <c r="G355" s="156"/>
      <c r="H355" s="64"/>
    </row>
    <row r="356" spans="1:8" ht="15" thickBot="1">
      <c r="A356" s="79"/>
      <c r="B356" s="68"/>
      <c r="C356" s="63"/>
      <c r="D356" s="89">
        <v>100</v>
      </c>
      <c r="E356" s="91"/>
      <c r="F356" s="18"/>
      <c r="G356" s="156"/>
      <c r="H356" s="64"/>
    </row>
    <row r="357" spans="1:8">
      <c r="A357" s="79"/>
      <c r="B357" s="66"/>
      <c r="C357" s="63"/>
      <c r="D357" s="18"/>
      <c r="E357" s="18"/>
      <c r="F357" s="18"/>
      <c r="G357" s="156"/>
      <c r="H357" s="64"/>
    </row>
    <row r="358" spans="1:8" ht="15" thickBot="1">
      <c r="A358" s="80"/>
      <c r="B358" s="67"/>
      <c r="C358" s="42"/>
      <c r="D358" s="30"/>
      <c r="E358" s="30"/>
      <c r="F358" s="30"/>
      <c r="G358" s="154"/>
      <c r="H358" s="43"/>
    </row>
    <row r="359" spans="1:8">
      <c r="A359" s="78"/>
      <c r="B359" s="65"/>
      <c r="C359" s="60"/>
      <c r="D359" s="61"/>
      <c r="E359" s="61"/>
      <c r="F359" s="61"/>
      <c r="G359" s="155"/>
      <c r="H359" s="62"/>
    </row>
    <row r="360" spans="1:8" ht="15" thickBot="1">
      <c r="A360" s="79"/>
      <c r="B360" s="66"/>
      <c r="C360" s="63"/>
      <c r="D360" s="69" t="s">
        <v>87</v>
      </c>
      <c r="E360" s="88" t="s">
        <v>776</v>
      </c>
      <c r="F360" s="18"/>
      <c r="G360" s="153" t="s">
        <v>29</v>
      </c>
    </row>
    <row r="361" spans="1:8" ht="15" thickBot="1">
      <c r="A361" s="79"/>
      <c r="B361" s="66"/>
      <c r="C361" s="63"/>
      <c r="D361" s="89">
        <v>500</v>
      </c>
      <c r="E361" s="401" t="s">
        <v>799</v>
      </c>
      <c r="F361" s="18"/>
      <c r="G361" s="246">
        <f>IF(E361="Brak",'Rura gładka'!E48,IF(E361="Zwykły silikon",'Rura gładka'!E48+2,IF(E361="Olejoodporny ",'Rura gładka'!E48+5)))</f>
        <v>67.724549999999994</v>
      </c>
      <c r="H361" s="302" t="s">
        <v>519</v>
      </c>
    </row>
    <row r="362" spans="1:8" ht="15" thickBot="1">
      <c r="A362"/>
      <c r="B362" s="94" t="s">
        <v>825</v>
      </c>
      <c r="C362" s="63"/>
      <c r="D362" s="88" t="s">
        <v>61</v>
      </c>
      <c r="E362" s="87" t="s">
        <v>512</v>
      </c>
      <c r="F362" s="18"/>
      <c r="G362" s="235" t="s">
        <v>405</v>
      </c>
      <c r="H362" s="297">
        <f>(G361-G363)/G363</f>
        <v>0.5</v>
      </c>
    </row>
    <row r="363" spans="1:8" ht="15" thickBot="1">
      <c r="A363" s="79"/>
      <c r="B363" s="68"/>
      <c r="C363" s="63"/>
      <c r="D363" s="89">
        <v>1000</v>
      </c>
      <c r="E363" s="402" t="s">
        <v>799</v>
      </c>
      <c r="F363" s="18"/>
      <c r="G363" s="248">
        <f>IF(E363="Brak",'Rura gładka'!E43,IF(E363&gt;10,'Rura gładka'!E46))</f>
        <v>45.149699999999996</v>
      </c>
      <c r="H363" s="64"/>
    </row>
    <row r="364" spans="1:8" ht="15" thickBot="1">
      <c r="A364" s="79"/>
      <c r="B364" s="66"/>
      <c r="C364" s="63"/>
      <c r="D364" s="87" t="s">
        <v>843</v>
      </c>
      <c r="E364" s="322" t="s">
        <v>844</v>
      </c>
      <c r="F364" s="18"/>
      <c r="G364" s="156"/>
      <c r="H364" s="64"/>
    </row>
    <row r="365" spans="1:8" ht="15" thickBot="1">
      <c r="A365" s="80"/>
      <c r="B365" s="67"/>
      <c r="C365" s="42"/>
      <c r="D365" s="402" t="s">
        <v>799</v>
      </c>
      <c r="E365" s="402" t="s">
        <v>799</v>
      </c>
      <c r="F365" s="30"/>
      <c r="G365" s="154"/>
      <c r="H365" s="43"/>
    </row>
    <row r="366" spans="1:8">
      <c r="A366" s="78"/>
      <c r="B366" s="65"/>
      <c r="C366" s="60"/>
      <c r="D366" s="61"/>
      <c r="E366" s="61"/>
      <c r="F366" s="61"/>
      <c r="G366" s="155"/>
      <c r="H366" s="62"/>
    </row>
    <row r="367" spans="1:8" ht="15" thickBot="1">
      <c r="A367" s="79"/>
      <c r="B367" s="66"/>
      <c r="C367" s="63"/>
      <c r="D367" s="69" t="s">
        <v>87</v>
      </c>
      <c r="E367" s="88" t="s">
        <v>776</v>
      </c>
      <c r="F367" s="18"/>
      <c r="G367" s="153" t="s">
        <v>29</v>
      </c>
    </row>
    <row r="368" spans="1:8" ht="15" thickBot="1">
      <c r="A368" s="79"/>
      <c r="B368" s="66"/>
      <c r="C368" s="63"/>
      <c r="D368" s="89">
        <v>800</v>
      </c>
      <c r="E368" s="401" t="s">
        <v>799</v>
      </c>
      <c r="F368" s="18"/>
      <c r="G368" s="246">
        <f>IF(E368="Brak",'Rura gładka'!K42,IF(E368="Zwykły silikon",'Rura gładka'!K42+2,IF(E368="Olejoodporny ",'Rura gładka'!K42+5)))</f>
        <v>588.63102000000003</v>
      </c>
      <c r="H368" s="302" t="s">
        <v>519</v>
      </c>
    </row>
    <row r="369" spans="1:8" ht="15" thickBot="1">
      <c r="A369"/>
      <c r="B369" s="94" t="s">
        <v>607</v>
      </c>
      <c r="C369" s="63"/>
      <c r="D369" s="88" t="s">
        <v>61</v>
      </c>
      <c r="E369" s="87" t="s">
        <v>512</v>
      </c>
      <c r="F369" s="91"/>
      <c r="G369" s="235" t="s">
        <v>405</v>
      </c>
      <c r="H369" s="297">
        <f>(G368-G370)/G370</f>
        <v>0.89999999999999991</v>
      </c>
    </row>
    <row r="370" spans="1:8" ht="15" thickBot="1">
      <c r="A370" s="79"/>
      <c r="B370" s="68"/>
      <c r="C370" s="63"/>
      <c r="D370" s="89">
        <v>1000</v>
      </c>
      <c r="E370" s="402" t="s">
        <v>799</v>
      </c>
      <c r="F370" s="18"/>
      <c r="G370" s="248">
        <f>'Rura gładka'!K40</f>
        <v>309.80580000000003</v>
      </c>
      <c r="H370" s="64"/>
    </row>
    <row r="371" spans="1:8">
      <c r="A371" s="79"/>
      <c r="B371" s="66"/>
      <c r="C371" s="63"/>
      <c r="D371" s="18"/>
      <c r="E371" s="18"/>
      <c r="F371" s="18"/>
      <c r="G371" s="156"/>
      <c r="H371" s="64"/>
    </row>
    <row r="372" spans="1:8" ht="15" thickBot="1">
      <c r="A372" s="80"/>
      <c r="B372" s="67"/>
      <c r="C372" s="42"/>
      <c r="D372" s="30"/>
      <c r="E372" s="30"/>
      <c r="F372" s="30"/>
      <c r="G372" s="154"/>
      <c r="H372" s="43"/>
    </row>
    <row r="373" spans="1:8">
      <c r="A373" s="78"/>
      <c r="B373" s="65"/>
      <c r="C373" s="60"/>
      <c r="D373" s="61"/>
      <c r="E373" s="61"/>
      <c r="F373" s="61"/>
      <c r="G373" s="155"/>
      <c r="H373" s="62"/>
    </row>
    <row r="374" spans="1:8">
      <c r="A374" s="79"/>
      <c r="B374" s="66"/>
      <c r="C374" s="63"/>
      <c r="H374" s="64"/>
    </row>
    <row r="375" spans="1:8" ht="15" thickBot="1">
      <c r="A375" s="79"/>
      <c r="B375" s="66"/>
      <c r="C375" s="63"/>
      <c r="D375" s="69" t="s">
        <v>87</v>
      </c>
      <c r="E375" s="87" t="s">
        <v>798</v>
      </c>
      <c r="F375" s="69" t="s">
        <v>656</v>
      </c>
      <c r="G375" s="153" t="s">
        <v>29</v>
      </c>
      <c r="H375" s="64"/>
    </row>
    <row r="376" spans="1:8" ht="15" thickBot="1">
      <c r="A376" s="79"/>
      <c r="B376" s="94" t="s">
        <v>763</v>
      </c>
      <c r="C376" s="63"/>
      <c r="D376" s="89">
        <v>630</v>
      </c>
      <c r="E376" s="89">
        <v>40</v>
      </c>
      <c r="F376" s="419">
        <f>D376+(E376*2)</f>
        <v>710</v>
      </c>
      <c r="G376" s="247">
        <f>Kolar_Nypel_Mufa!P23</f>
        <v>49.963515173120001</v>
      </c>
      <c r="H376" s="302" t="s">
        <v>519</v>
      </c>
    </row>
    <row r="377" spans="1:8" ht="15" thickBot="1">
      <c r="A377" s="79"/>
      <c r="B377" s="66"/>
      <c r="C377" s="63"/>
      <c r="D377" s="55" t="s">
        <v>752</v>
      </c>
      <c r="E377" s="55" t="s">
        <v>711</v>
      </c>
      <c r="F377" s="379" t="s">
        <v>660</v>
      </c>
      <c r="G377" s="235" t="s">
        <v>405</v>
      </c>
      <c r="H377" s="297" t="e">
        <f>(G376-G378)/G378</f>
        <v>#DIV/0!</v>
      </c>
    </row>
    <row r="378" spans="1:8" ht="15" thickBot="1">
      <c r="A378" s="79"/>
      <c r="B378" s="66"/>
      <c r="C378" s="63"/>
      <c r="D378" s="401" t="s">
        <v>708</v>
      </c>
      <c r="E378" s="401" t="s">
        <v>956</v>
      </c>
      <c r="F378" s="18"/>
      <c r="G378" s="248"/>
      <c r="H378" s="64"/>
    </row>
    <row r="379" spans="1:8" ht="15" thickBot="1">
      <c r="A379" s="80"/>
      <c r="B379" s="67"/>
      <c r="C379" s="42"/>
      <c r="D379" s="30"/>
      <c r="E379" s="30"/>
      <c r="F379" s="30"/>
      <c r="G379" s="154"/>
      <c r="H379" s="43"/>
    </row>
    <row r="380" spans="1:8">
      <c r="A380" s="78"/>
      <c r="B380" s="65"/>
      <c r="C380" s="60"/>
      <c r="D380" s="61"/>
      <c r="E380" s="61"/>
      <c r="F380" s="61"/>
      <c r="G380" s="155"/>
      <c r="H380" s="62"/>
    </row>
    <row r="381" spans="1:8">
      <c r="A381" s="79"/>
      <c r="B381" s="66"/>
      <c r="C381" s="63"/>
      <c r="H381" s="64"/>
    </row>
    <row r="382" spans="1:8" ht="15" thickBot="1">
      <c r="A382" s="79"/>
      <c r="B382" s="66"/>
      <c r="C382" s="63"/>
      <c r="D382" s="322" t="s">
        <v>72</v>
      </c>
      <c r="E382" s="87" t="s">
        <v>724</v>
      </c>
      <c r="F382" s="18"/>
      <c r="G382" s="153" t="s">
        <v>29</v>
      </c>
      <c r="H382" s="64"/>
    </row>
    <row r="383" spans="1:8" ht="15" thickBot="1">
      <c r="A383" s="79"/>
      <c r="B383" s="94" t="s">
        <v>722</v>
      </c>
      <c r="C383" s="63"/>
      <c r="D383" s="89">
        <v>30</v>
      </c>
      <c r="E383" s="89">
        <v>30</v>
      </c>
      <c r="F383" s="18"/>
      <c r="G383" s="247">
        <f>'Ramka do kanałów'!P29</f>
        <v>7.6400999999999994</v>
      </c>
      <c r="H383" s="302" t="s">
        <v>519</v>
      </c>
    </row>
    <row r="384" spans="1:8" ht="15" thickBot="1">
      <c r="A384" s="79"/>
      <c r="B384" s="66"/>
      <c r="C384" s="63"/>
      <c r="D384" s="55" t="s">
        <v>26</v>
      </c>
      <c r="E384" s="55" t="s">
        <v>723</v>
      </c>
      <c r="F384" s="55" t="s">
        <v>62</v>
      </c>
      <c r="G384" s="235" t="s">
        <v>405</v>
      </c>
      <c r="H384" s="297">
        <f>(G383-G385)/G385</f>
        <v>0.46360667043419124</v>
      </c>
    </row>
    <row r="385" spans="1:8" ht="15" thickBot="1">
      <c r="A385" s="79"/>
      <c r="B385" s="66"/>
      <c r="C385" s="63"/>
      <c r="D385" s="89">
        <v>1500</v>
      </c>
      <c r="E385" s="401" t="s">
        <v>962</v>
      </c>
      <c r="F385" s="583">
        <v>0.8</v>
      </c>
      <c r="G385" s="248">
        <f>'Ramka do kanałów'!P27</f>
        <v>5.2200499999999996</v>
      </c>
      <c r="H385" s="64"/>
    </row>
    <row r="386" spans="1:8" ht="15" thickBot="1">
      <c r="A386" s="80"/>
      <c r="B386" s="67"/>
      <c r="C386" s="42"/>
      <c r="D386" s="30">
        <v>500</v>
      </c>
      <c r="E386" s="30"/>
      <c r="F386" s="30"/>
      <c r="G386" s="154"/>
      <c r="H386" s="43"/>
    </row>
    <row r="387" spans="1:8">
      <c r="A387" s="78"/>
      <c r="B387" s="65"/>
      <c r="C387" s="60"/>
      <c r="D387" s="61"/>
      <c r="E387" s="61"/>
      <c r="F387" s="61"/>
      <c r="G387" s="155"/>
      <c r="H387" s="62"/>
    </row>
    <row r="388" spans="1:8">
      <c r="A388" s="79"/>
      <c r="B388" s="66"/>
      <c r="C388" s="63"/>
      <c r="D388" s="18"/>
      <c r="E388" s="18"/>
      <c r="F388" s="18"/>
      <c r="G388" s="156"/>
      <c r="H388" s="64"/>
    </row>
    <row r="389" spans="1:8" ht="15" thickBot="1">
      <c r="A389" s="79"/>
      <c r="B389" s="66"/>
      <c r="C389" s="63"/>
      <c r="D389" s="87" t="s">
        <v>614</v>
      </c>
      <c r="E389" s="87" t="s">
        <v>93</v>
      </c>
      <c r="F389" s="18"/>
      <c r="G389" s="153" t="s">
        <v>29</v>
      </c>
      <c r="H389" s="64"/>
    </row>
    <row r="390" spans="1:8" ht="15" thickBot="1">
      <c r="A390"/>
      <c r="B390" s="68" t="s">
        <v>729</v>
      </c>
      <c r="C390" s="63"/>
      <c r="D390" s="89">
        <v>360</v>
      </c>
      <c r="E390" s="89">
        <v>840</v>
      </c>
      <c r="F390" s="18"/>
      <c r="G390" s="246">
        <f>'Taca ociekowa'!F33</f>
        <v>73</v>
      </c>
      <c r="H390" s="302" t="s">
        <v>519</v>
      </c>
    </row>
    <row r="391" spans="1:8" ht="15" thickBot="1">
      <c r="A391" s="79"/>
      <c r="B391" s="66"/>
      <c r="C391" s="63"/>
      <c r="D391" s="88" t="s">
        <v>730</v>
      </c>
      <c r="E391" s="87" t="s">
        <v>731</v>
      </c>
      <c r="F391" s="322" t="s">
        <v>548</v>
      </c>
      <c r="G391" s="235" t="s">
        <v>405</v>
      </c>
      <c r="H391" s="297"/>
    </row>
    <row r="392" spans="1:8" ht="15" thickBot="1">
      <c r="A392" s="79"/>
      <c r="B392" s="66"/>
      <c r="C392" s="63"/>
      <c r="D392" s="89">
        <v>40</v>
      </c>
      <c r="E392" s="401" t="s">
        <v>708</v>
      </c>
      <c r="F392" s="401" t="s">
        <v>952</v>
      </c>
      <c r="G392" s="248"/>
      <c r="H392" s="64"/>
    </row>
    <row r="393" spans="1:8" ht="15" thickBot="1">
      <c r="A393" s="80"/>
      <c r="B393" s="67"/>
      <c r="C393" s="42"/>
      <c r="D393" s="30"/>
      <c r="E393" s="30"/>
      <c r="F393" s="30"/>
      <c r="G393" s="154"/>
      <c r="H393" s="43"/>
    </row>
    <row r="394" spans="1:8">
      <c r="A394" s="78"/>
      <c r="B394" s="65"/>
      <c r="C394" s="60"/>
      <c r="D394" s="61"/>
      <c r="E394" s="61"/>
      <c r="F394" s="61"/>
      <c r="G394" s="155"/>
      <c r="H394" s="62"/>
    </row>
    <row r="395" spans="1:8" ht="15" thickBot="1">
      <c r="A395" s="79"/>
      <c r="B395" s="66"/>
      <c r="C395" s="63"/>
      <c r="D395" s="87" t="s">
        <v>791</v>
      </c>
      <c r="E395" s="87" t="s">
        <v>792</v>
      </c>
      <c r="F395" s="18"/>
      <c r="G395" s="153" t="s">
        <v>29</v>
      </c>
    </row>
    <row r="396" spans="1:8" ht="15" thickBot="1">
      <c r="A396" s="79"/>
      <c r="B396" s="66"/>
      <c r="C396" s="63"/>
      <c r="D396" s="89">
        <v>560</v>
      </c>
      <c r="E396" s="89">
        <v>450</v>
      </c>
      <c r="F396" s="18"/>
      <c r="G396" s="246">
        <f>'Redukcja okrągła'!F25</f>
        <v>69.957033472183866</v>
      </c>
      <c r="H396" s="302" t="s">
        <v>519</v>
      </c>
    </row>
    <row r="397" spans="1:8" ht="15" thickBot="1">
      <c r="A397"/>
      <c r="B397" s="94" t="s">
        <v>790</v>
      </c>
      <c r="C397" s="63"/>
      <c r="D397" s="88" t="s">
        <v>795</v>
      </c>
      <c r="E397" s="91"/>
      <c r="F397" s="18"/>
      <c r="G397" s="235" t="s">
        <v>405</v>
      </c>
      <c r="H397" s="297" t="e">
        <f>(G396-G398)/G398</f>
        <v>#DIV/0!</v>
      </c>
    </row>
    <row r="398" spans="1:8" ht="15" thickBot="1">
      <c r="A398" s="79"/>
      <c r="B398" s="68"/>
      <c r="C398" s="63"/>
      <c r="D398" s="89">
        <v>150</v>
      </c>
      <c r="E398" s="91"/>
      <c r="F398" s="18"/>
      <c r="G398" s="248">
        <f>'Rura gładka'!E80</f>
        <v>0</v>
      </c>
      <c r="H398" s="64"/>
    </row>
    <row r="399" spans="1:8">
      <c r="A399" s="79"/>
      <c r="B399" s="66"/>
      <c r="C399" s="63"/>
      <c r="D399" s="18"/>
      <c r="E399" s="18"/>
      <c r="F399" s="18"/>
      <c r="G399" s="156"/>
      <c r="H399" s="64"/>
    </row>
    <row r="400" spans="1:8" ht="15" thickBot="1">
      <c r="A400" s="80"/>
      <c r="B400" s="67"/>
      <c r="C400" s="42"/>
      <c r="D400" s="30"/>
      <c r="E400" s="30"/>
      <c r="F400" s="30"/>
      <c r="G400" s="154"/>
      <c r="H400" s="43"/>
    </row>
    <row r="401" spans="1:8">
      <c r="A401" s="78"/>
      <c r="B401" s="65"/>
      <c r="C401" s="60"/>
      <c r="D401" s="61"/>
      <c r="E401" s="61"/>
      <c r="F401" s="61"/>
      <c r="G401" s="155"/>
      <c r="H401" s="62"/>
    </row>
    <row r="402" spans="1:8">
      <c r="A402" s="79"/>
      <c r="B402" s="66"/>
      <c r="C402" s="63"/>
      <c r="E402" s="87"/>
      <c r="F402" s="18"/>
      <c r="H402" s="64"/>
    </row>
    <row r="403" spans="1:8" ht="15" thickBot="1">
      <c r="A403" s="79"/>
      <c r="B403" s="66"/>
      <c r="C403" s="63"/>
      <c r="D403" s="69" t="s">
        <v>87</v>
      </c>
      <c r="E403" s="88" t="s">
        <v>61</v>
      </c>
      <c r="F403" s="56" t="s">
        <v>782</v>
      </c>
      <c r="G403" s="153" t="s">
        <v>29</v>
      </c>
    </row>
    <row r="404" spans="1:8" ht="15" thickBot="1">
      <c r="A404"/>
      <c r="B404" s="94" t="s">
        <v>830</v>
      </c>
      <c r="C404" s="63"/>
      <c r="D404" s="89">
        <v>100</v>
      </c>
      <c r="E404" s="306">
        <f>Wyrzutnie!C84</f>
        <v>400</v>
      </c>
      <c r="F404" s="416">
        <f>IF(D404&lt;125,40,IF(D404&lt;200,50,IF(D404&lt;300,60)))</f>
        <v>40</v>
      </c>
      <c r="G404" s="246">
        <f>Wyrzutnie!F112</f>
        <v>300</v>
      </c>
      <c r="H404" s="302" t="s">
        <v>519</v>
      </c>
    </row>
    <row r="405" spans="1:8">
      <c r="A405" s="79"/>
      <c r="B405" s="68"/>
      <c r="C405" s="63"/>
      <c r="D405" s="87"/>
      <c r="E405" s="91"/>
      <c r="G405" s="235" t="s">
        <v>405</v>
      </c>
      <c r="H405" s="297"/>
    </row>
    <row r="406" spans="1:8">
      <c r="A406" s="79"/>
      <c r="B406" s="66"/>
      <c r="C406" s="63"/>
      <c r="D406" s="18"/>
      <c r="E406" s="18"/>
      <c r="F406" s="18"/>
      <c r="G406" s="248">
        <f>'Wyrzutnia ścięta osiatkowana'!J248</f>
        <v>0</v>
      </c>
      <c r="H406" s="64"/>
    </row>
    <row r="407" spans="1:8" ht="15" thickBot="1">
      <c r="A407" s="80"/>
      <c r="B407" s="67"/>
      <c r="C407" s="42"/>
      <c r="D407" s="30"/>
      <c r="E407" s="30"/>
      <c r="F407" s="30"/>
      <c r="G407" s="154"/>
      <c r="H407" s="43"/>
    </row>
    <row r="408" spans="1:8">
      <c r="A408" s="78"/>
      <c r="B408" s="65"/>
      <c r="C408" s="60"/>
      <c r="D408" s="61"/>
      <c r="E408" s="61"/>
      <c r="F408" s="61"/>
      <c r="G408" s="155"/>
      <c r="H408" s="62"/>
    </row>
    <row r="409" spans="1:8" ht="15" thickBot="1">
      <c r="A409" s="79"/>
      <c r="B409" s="66"/>
      <c r="C409" s="63"/>
      <c r="D409" s="87" t="s">
        <v>851</v>
      </c>
      <c r="E409" s="87" t="s">
        <v>852</v>
      </c>
      <c r="F409" s="88" t="s">
        <v>855</v>
      </c>
      <c r="G409" s="153" t="s">
        <v>29</v>
      </c>
      <c r="H409" s="64"/>
    </row>
    <row r="410" spans="1:8" ht="15" thickBot="1">
      <c r="A410" s="79"/>
      <c r="B410" s="66"/>
      <c r="C410" s="63"/>
      <c r="D410" s="89">
        <v>1350</v>
      </c>
      <c r="E410" s="89">
        <v>900</v>
      </c>
      <c r="F410" s="89">
        <v>250</v>
      </c>
      <c r="G410" s="246">
        <f>Okap!F33</f>
        <v>652.24272638604953</v>
      </c>
      <c r="H410" s="64"/>
    </row>
    <row r="411" spans="1:8" ht="15" thickBot="1">
      <c r="A411"/>
      <c r="B411" s="68" t="s">
        <v>850</v>
      </c>
      <c r="C411" s="63"/>
      <c r="D411" s="87" t="s">
        <v>853</v>
      </c>
      <c r="E411" s="87" t="s">
        <v>854</v>
      </c>
      <c r="F411" s="88" t="s">
        <v>3</v>
      </c>
      <c r="G411" s="156"/>
      <c r="H411" s="64"/>
    </row>
    <row r="412" spans="1:8" ht="15" thickBot="1">
      <c r="A412" s="79"/>
      <c r="B412" s="68"/>
      <c r="C412" s="63"/>
      <c r="D412" s="89">
        <v>1350</v>
      </c>
      <c r="E412" s="89">
        <v>350</v>
      </c>
      <c r="F412" s="89">
        <v>450</v>
      </c>
      <c r="G412" s="156"/>
      <c r="H412" s="64"/>
    </row>
    <row r="413" spans="1:8" ht="15" thickBot="1">
      <c r="A413" s="79"/>
      <c r="B413" s="66"/>
      <c r="C413" s="63"/>
      <c r="D413" s="55" t="s">
        <v>120</v>
      </c>
      <c r="E413" s="156"/>
      <c r="F413" s="18"/>
      <c r="G413" s="156"/>
      <c r="H413" s="64"/>
    </row>
    <row r="414" spans="1:8" ht="15" thickBot="1">
      <c r="A414" s="80"/>
      <c r="B414" s="67"/>
      <c r="C414" s="42"/>
      <c r="D414" s="401" t="s">
        <v>708</v>
      </c>
      <c r="E414" s="30"/>
      <c r="F414" s="30"/>
      <c r="G414" s="154"/>
      <c r="H414" s="43"/>
    </row>
    <row r="415" spans="1:8">
      <c r="A415" s="78"/>
      <c r="B415" s="65"/>
      <c r="C415" s="60"/>
      <c r="D415" s="61"/>
      <c r="E415" s="61"/>
      <c r="F415" s="61"/>
      <c r="G415" s="155"/>
      <c r="H415" s="62"/>
    </row>
    <row r="416" spans="1:8" ht="15" thickBot="1">
      <c r="A416" s="79"/>
      <c r="B416" s="66"/>
      <c r="C416" s="63"/>
      <c r="D416" s="87" t="s">
        <v>851</v>
      </c>
      <c r="E416" s="87" t="s">
        <v>852</v>
      </c>
      <c r="F416" s="88" t="s">
        <v>855</v>
      </c>
      <c r="G416" s="153" t="s">
        <v>29</v>
      </c>
      <c r="H416" s="64"/>
    </row>
    <row r="417" spans="1:8" ht="15" thickBot="1">
      <c r="A417" s="79"/>
      <c r="B417" s="66"/>
      <c r="C417" s="63"/>
      <c r="D417" s="89">
        <v>1200</v>
      </c>
      <c r="E417" s="89">
        <v>600</v>
      </c>
      <c r="F417" s="89">
        <v>200</v>
      </c>
      <c r="G417" s="246">
        <f>Okap!X31</f>
        <v>1412.5756772034911</v>
      </c>
      <c r="H417" s="64"/>
    </row>
    <row r="418" spans="1:8" ht="15" thickBot="1">
      <c r="A418"/>
      <c r="B418" s="68" t="s">
        <v>850</v>
      </c>
      <c r="C418" s="63"/>
      <c r="D418" s="87" t="s">
        <v>853</v>
      </c>
      <c r="E418" s="87" t="s">
        <v>854</v>
      </c>
      <c r="F418" s="88" t="s">
        <v>3</v>
      </c>
      <c r="G418" s="156"/>
      <c r="H418" s="64"/>
    </row>
    <row r="419" spans="1:8" ht="15" thickBot="1">
      <c r="A419" s="79"/>
      <c r="B419" s="68" t="s">
        <v>870</v>
      </c>
      <c r="C419" s="63"/>
      <c r="D419" s="89">
        <v>1000</v>
      </c>
      <c r="E419" s="89">
        <v>400</v>
      </c>
      <c r="F419" s="89">
        <v>400</v>
      </c>
      <c r="G419" s="156"/>
      <c r="H419" s="64"/>
    </row>
    <row r="420" spans="1:8" ht="15" thickBot="1">
      <c r="A420" s="79"/>
      <c r="B420" s="66"/>
      <c r="C420" s="63"/>
      <c r="D420" s="55" t="s">
        <v>120</v>
      </c>
      <c r="E420" s="156"/>
      <c r="F420" s="18"/>
      <c r="G420" s="156"/>
      <c r="H420" s="64"/>
    </row>
    <row r="421" spans="1:8" ht="15" thickBot="1">
      <c r="A421" s="80"/>
      <c r="B421" s="67"/>
      <c r="C421" s="42"/>
      <c r="D421" s="401" t="s">
        <v>708</v>
      </c>
      <c r="E421" s="30"/>
      <c r="F421" s="30"/>
      <c r="G421" s="154"/>
      <c r="H421" s="43"/>
    </row>
    <row r="422" spans="1:8">
      <c r="A422" s="78"/>
      <c r="B422" s="65"/>
      <c r="C422" s="60"/>
      <c r="D422" s="61"/>
      <c r="E422" s="61"/>
      <c r="F422" s="61"/>
      <c r="G422" s="155"/>
      <c r="H422" s="62"/>
    </row>
    <row r="423" spans="1:8" ht="15" thickBot="1">
      <c r="A423" s="79"/>
      <c r="B423" s="66"/>
      <c r="C423" s="63"/>
      <c r="D423" s="87" t="s">
        <v>94</v>
      </c>
      <c r="E423" s="87" t="s">
        <v>93</v>
      </c>
      <c r="F423" s="413" t="s">
        <v>19</v>
      </c>
      <c r="G423" s="153" t="s">
        <v>924</v>
      </c>
      <c r="H423" s="64"/>
    </row>
    <row r="424" spans="1:8" ht="15" thickBot="1">
      <c r="A424" s="79"/>
      <c r="B424" s="66"/>
      <c r="C424" s="63"/>
      <c r="D424" s="89">
        <v>200</v>
      </c>
      <c r="E424" s="89">
        <v>200</v>
      </c>
      <c r="F424" s="414">
        <f>IF('Kanał osiatkowany'!M10&gt;=1,'Kanał osiatkowany'!M10,1)</f>
        <v>1.2</v>
      </c>
      <c r="G424" s="246">
        <f>IF(E426="A",'Kanał osiatkowany'!O33,IF(E426="B",'Kanał osiatkowany'!O33+'Ceny składowe'!C87,IF(E426="C",'Kanał osiatkowany'!O33+'Ceny składowe'!C88,IF(E426="Olejo",'Kanał osiatkowany'!O33+'Ceny składowe'!C89))))</f>
        <v>63.48</v>
      </c>
      <c r="H424" s="64"/>
    </row>
    <row r="425" spans="1:8" ht="15" thickBot="1">
      <c r="A425"/>
      <c r="B425" s="68" t="s">
        <v>767</v>
      </c>
      <c r="C425" s="63"/>
      <c r="D425" s="88" t="s">
        <v>61</v>
      </c>
      <c r="E425" s="88" t="s">
        <v>776</v>
      </c>
      <c r="F425" s="88" t="s">
        <v>938</v>
      </c>
      <c r="G425" s="153" t="s">
        <v>925</v>
      </c>
      <c r="H425" s="64"/>
    </row>
    <row r="426" spans="1:8" ht="15" thickBot="1">
      <c r="A426" s="79"/>
      <c r="B426" s="68"/>
      <c r="C426" s="63"/>
      <c r="D426" s="89">
        <v>1500</v>
      </c>
      <c r="E426" s="401" t="s">
        <v>110</v>
      </c>
      <c r="F426" s="401" t="s">
        <v>708</v>
      </c>
      <c r="G426" s="246">
        <f>IF(E426="A",'Kanał osiatkowany'!O36,IF(E426="B",'Kanał osiatkowany'!O36+'Ceny składowe'!C87,IF(E426="C",'Kanał osiatkowany'!O36+'Ceny składowe'!C88,IF(E426="Olejo",'Kanał osiatkowany'!O36+'Ceny składowe'!C89))))</f>
        <v>372</v>
      </c>
      <c r="H426" s="64"/>
    </row>
    <row r="427" spans="1:8">
      <c r="A427" s="79"/>
      <c r="B427" s="66"/>
      <c r="C427" s="63"/>
      <c r="D427" s="18"/>
      <c r="E427" s="18"/>
      <c r="F427" s="18"/>
      <c r="G427" s="156"/>
      <c r="H427" s="64"/>
    </row>
    <row r="428" spans="1:8" ht="15" thickBot="1">
      <c r="A428" s="80"/>
      <c r="B428" s="67"/>
      <c r="C428" s="42"/>
      <c r="D428" s="30"/>
      <c r="E428" s="30"/>
      <c r="F428" s="30"/>
      <c r="G428" s="154"/>
      <c r="H428" s="43"/>
    </row>
    <row r="429" spans="1:8">
      <c r="A429" s="78"/>
      <c r="B429" s="65"/>
      <c r="C429" s="60"/>
      <c r="D429" s="61"/>
      <c r="E429" s="61"/>
      <c r="F429" s="61"/>
      <c r="G429" s="155"/>
      <c r="H429" s="62"/>
    </row>
    <row r="430" spans="1:8" ht="15" thickBot="1">
      <c r="A430" s="79"/>
      <c r="B430" s="66"/>
      <c r="C430" s="63"/>
      <c r="D430" s="88" t="s">
        <v>779</v>
      </c>
      <c r="E430" s="87" t="s">
        <v>548</v>
      </c>
      <c r="F430" s="18"/>
      <c r="G430" s="153" t="s">
        <v>29</v>
      </c>
      <c r="H430" s="64"/>
    </row>
    <row r="431" spans="1:8" ht="15" thickBot="1">
      <c r="A431" s="79"/>
      <c r="B431" s="66"/>
      <c r="C431" s="63"/>
      <c r="D431" s="89">
        <v>400</v>
      </c>
      <c r="E431" s="401" t="s">
        <v>941</v>
      </c>
      <c r="F431" s="18"/>
      <c r="G431" s="246">
        <f>INDEX('Czerpnia ścienna'!$I$77:$L$85, MATCH(D431, 'Czerpnia ścienna'!$H$77:$H$85, 0), MATCH(E431, 'Czerpnia ścienna'!$I$76:$L$76, 0))</f>
        <v>373.98</v>
      </c>
      <c r="H431" s="64"/>
    </row>
    <row r="432" spans="1:8">
      <c r="A432"/>
      <c r="B432" s="68" t="s">
        <v>778</v>
      </c>
      <c r="C432" s="63"/>
      <c r="E432" s="87"/>
      <c r="F432" s="147"/>
      <c r="G432" s="158"/>
      <c r="H432" s="64"/>
    </row>
    <row r="433" spans="1:8">
      <c r="A433" s="79"/>
      <c r="B433" s="68"/>
      <c r="C433" s="63"/>
      <c r="E433" s="150"/>
      <c r="F433" s="157"/>
      <c r="H433" s="64"/>
    </row>
    <row r="434" spans="1:8">
      <c r="A434" s="79"/>
      <c r="B434" s="66"/>
      <c r="C434" s="63"/>
      <c r="D434" s="18"/>
      <c r="E434" s="150"/>
      <c r="H434" s="64"/>
    </row>
    <row r="435" spans="1:8" ht="15" thickBot="1">
      <c r="A435" s="80"/>
      <c r="B435" s="67"/>
      <c r="C435" s="42"/>
      <c r="D435" s="30"/>
      <c r="E435" s="30"/>
      <c r="F435" s="30"/>
      <c r="G435" s="154"/>
      <c r="H435" s="43"/>
    </row>
    <row r="436" spans="1:8" ht="15" thickBot="1">
      <c r="A436" s="60"/>
      <c r="B436" s="65"/>
      <c r="C436" s="61"/>
      <c r="D436" s="322" t="s">
        <v>655</v>
      </c>
      <c r="E436" s="322" t="s">
        <v>656</v>
      </c>
      <c r="F436" s="235" t="s">
        <v>446</v>
      </c>
      <c r="G436" s="254"/>
    </row>
    <row r="437" spans="1:8" ht="15" thickBot="1">
      <c r="A437" s="63"/>
      <c r="B437" s="66"/>
      <c r="C437" s="18"/>
      <c r="D437" s="71">
        <v>710</v>
      </c>
      <c r="E437" s="71">
        <v>870</v>
      </c>
      <c r="F437" s="364">
        <f>'Tłumik okrągły'!D61</f>
        <v>80</v>
      </c>
      <c r="G437" s="18"/>
      <c r="H437" s="14"/>
    </row>
    <row r="438" spans="1:8" ht="15" thickBot="1">
      <c r="A438" s="63"/>
      <c r="B438" s="66"/>
      <c r="C438" s="18"/>
      <c r="D438" s="322" t="s">
        <v>321</v>
      </c>
      <c r="E438" s="55" t="s">
        <v>657</v>
      </c>
      <c r="F438" s="18"/>
      <c r="G438" s="153" t="s">
        <v>29</v>
      </c>
      <c r="H438" s="296"/>
    </row>
    <row r="439" spans="1:8" ht="15" thickBot="1">
      <c r="A439" s="79"/>
      <c r="B439" s="68" t="s">
        <v>654</v>
      </c>
      <c r="C439" s="18"/>
      <c r="D439" s="71">
        <v>1420</v>
      </c>
      <c r="E439" s="401" t="s">
        <v>708</v>
      </c>
      <c r="F439" s="18"/>
      <c r="G439" s="247">
        <f>'Tłumik okrągły'!F97</f>
        <v>1161.7965943179181</v>
      </c>
      <c r="H439" s="300" t="s">
        <v>519</v>
      </c>
    </row>
    <row r="440" spans="1:8" ht="15" thickBot="1">
      <c r="A440" s="63"/>
      <c r="B440" s="66"/>
      <c r="C440" s="18"/>
      <c r="D440" s="322" t="s">
        <v>658</v>
      </c>
      <c r="E440" s="322" t="s">
        <v>659</v>
      </c>
      <c r="F440" s="18"/>
      <c r="G440" s="241" t="s">
        <v>405</v>
      </c>
      <c r="H440" s="296">
        <f>'Tłumik okrągły'!F98</f>
        <v>1.6000000000000003</v>
      </c>
    </row>
    <row r="441" spans="1:8" ht="15" thickBot="1">
      <c r="A441" s="18"/>
      <c r="B441" s="68"/>
      <c r="C441" s="18"/>
      <c r="D441" s="404">
        <v>12</v>
      </c>
      <c r="E441" s="401" t="s">
        <v>760</v>
      </c>
      <c r="F441" s="18"/>
      <c r="G441" s="252">
        <f>'Tłumik okrągły'!F96</f>
        <v>446.84484396842998</v>
      </c>
      <c r="H441" s="18"/>
    </row>
    <row r="442" spans="1:8" ht="15" thickBot="1">
      <c r="A442" s="80"/>
      <c r="B442" s="67"/>
      <c r="C442" s="42"/>
      <c r="D442" s="30"/>
      <c r="E442" s="30"/>
      <c r="F442" s="30"/>
      <c r="G442" s="154"/>
      <c r="H442" s="43"/>
    </row>
    <row r="443" spans="1:8">
      <c r="A443" s="16"/>
      <c r="B443" s="16"/>
      <c r="C443" s="16"/>
      <c r="D443" s="16"/>
      <c r="E443" s="16"/>
      <c r="F443" s="16"/>
      <c r="G443" s="16"/>
      <c r="H443" s="16"/>
    </row>
    <row r="444" spans="1:8">
      <c r="A444" s="16"/>
      <c r="B444" s="16"/>
      <c r="C444" s="16"/>
      <c r="D444" s="16"/>
      <c r="E444" s="16"/>
      <c r="F444" s="16"/>
      <c r="G444" s="16"/>
      <c r="H444" s="16"/>
    </row>
    <row r="445" spans="1:8">
      <c r="A445" s="16"/>
      <c r="B445" s="16"/>
      <c r="C445" s="16"/>
      <c r="D445" s="16"/>
      <c r="E445" s="16"/>
      <c r="F445" s="16"/>
      <c r="G445" s="16"/>
      <c r="H445" s="16"/>
    </row>
    <row r="446" spans="1:8">
      <c r="A446" s="16"/>
      <c r="B446" s="16"/>
      <c r="C446" s="16"/>
      <c r="D446" s="16"/>
      <c r="E446" s="16"/>
      <c r="F446" s="16"/>
      <c r="G446" s="16"/>
      <c r="H446" s="16"/>
    </row>
    <row r="447" spans="1:8">
      <c r="A447" s="16"/>
      <c r="B447" s="16"/>
      <c r="C447" s="16"/>
      <c r="D447" s="16"/>
      <c r="E447" s="16"/>
      <c r="F447" s="16"/>
      <c r="G447" s="16"/>
      <c r="H447" s="16"/>
    </row>
    <row r="448" spans="1:8">
      <c r="A448" s="16"/>
      <c r="B448" s="16"/>
      <c r="C448" s="16"/>
      <c r="D448" s="16"/>
      <c r="E448" s="16"/>
      <c r="F448" s="16"/>
      <c r="G448" s="16"/>
      <c r="H448" s="16"/>
    </row>
    <row r="449" spans="1:8">
      <c r="A449" s="16"/>
      <c r="B449" s="16"/>
      <c r="C449" s="16"/>
      <c r="D449" s="16"/>
      <c r="E449" s="16"/>
      <c r="F449" s="16"/>
      <c r="G449" s="16"/>
      <c r="H449" s="16"/>
    </row>
    <row r="450" spans="1:8">
      <c r="A450" s="16"/>
      <c r="B450" s="16"/>
      <c r="C450" s="16"/>
      <c r="D450" s="16"/>
      <c r="E450" s="16"/>
      <c r="F450" s="16"/>
      <c r="G450" s="16"/>
      <c r="H450" s="16"/>
    </row>
    <row r="451" spans="1:8">
      <c r="A451" s="16"/>
      <c r="B451" s="16"/>
      <c r="C451" s="16"/>
      <c r="D451" s="16"/>
      <c r="E451" s="16"/>
      <c r="F451" s="16"/>
      <c r="G451" s="16"/>
      <c r="H451" s="16"/>
    </row>
    <row r="452" spans="1:8">
      <c r="A452" s="16"/>
      <c r="B452" s="16"/>
      <c r="C452" s="16"/>
      <c r="D452" s="16"/>
      <c r="E452" s="16"/>
      <c r="F452" s="16"/>
      <c r="G452" s="16"/>
      <c r="H452" s="16"/>
    </row>
    <row r="453" spans="1:8">
      <c r="A453" s="16"/>
      <c r="B453" s="16"/>
      <c r="C453" s="16"/>
      <c r="D453" s="16"/>
      <c r="E453" s="16"/>
      <c r="F453" s="16"/>
      <c r="G453" s="16"/>
      <c r="H453" s="16"/>
    </row>
    <row r="454" spans="1:8">
      <c r="A454" s="16"/>
      <c r="B454" s="16"/>
      <c r="C454" s="16"/>
      <c r="D454" s="16"/>
      <c r="E454" s="16"/>
      <c r="F454" s="16"/>
      <c r="G454" s="16"/>
      <c r="H454" s="16"/>
    </row>
    <row r="455" spans="1:8">
      <c r="A455" s="16"/>
      <c r="B455" s="16"/>
      <c r="C455" s="16"/>
      <c r="D455" s="16"/>
      <c r="E455" s="16"/>
      <c r="F455" s="16"/>
      <c r="G455" s="16"/>
      <c r="H455" s="16"/>
    </row>
    <row r="456" spans="1:8">
      <c r="A456" s="16"/>
      <c r="B456" s="16"/>
      <c r="C456" s="16"/>
      <c r="D456" s="16"/>
      <c r="E456" s="16"/>
      <c r="F456" s="16"/>
      <c r="G456" s="16"/>
      <c r="H456" s="16"/>
    </row>
    <row r="457" spans="1:8">
      <c r="A457" s="16"/>
      <c r="B457" s="16"/>
      <c r="C457" s="16"/>
      <c r="D457" s="16"/>
      <c r="E457" s="16"/>
      <c r="F457" s="16"/>
      <c r="G457" s="16"/>
      <c r="H457" s="16"/>
    </row>
    <row r="458" spans="1:8">
      <c r="A458" s="16"/>
      <c r="B458" s="16"/>
      <c r="C458" s="16"/>
      <c r="D458" s="16"/>
      <c r="E458" s="16"/>
      <c r="F458" s="16"/>
      <c r="G458" s="16"/>
      <c r="H458" s="16"/>
    </row>
    <row r="459" spans="1:8">
      <c r="A459" s="16"/>
      <c r="B459" s="16"/>
      <c r="C459" s="16"/>
      <c r="D459" s="16"/>
      <c r="E459" s="16"/>
      <c r="F459" s="16"/>
      <c r="G459" s="16"/>
      <c r="H459" s="16"/>
    </row>
    <row r="460" spans="1:8">
      <c r="A460" s="16"/>
      <c r="B460" s="16"/>
      <c r="C460" s="16"/>
      <c r="D460" s="16"/>
      <c r="E460" s="16"/>
      <c r="F460" s="16"/>
      <c r="G460" s="16"/>
      <c r="H460" s="16"/>
    </row>
    <row r="461" spans="1:8">
      <c r="A461" s="16"/>
      <c r="B461" s="16"/>
      <c r="C461" s="16"/>
      <c r="D461" s="16"/>
      <c r="E461" s="16"/>
      <c r="F461" s="16"/>
      <c r="G461" s="16"/>
      <c r="H461" s="16"/>
    </row>
    <row r="462" spans="1:8">
      <c r="A462" s="16"/>
      <c r="B462" s="16"/>
      <c r="C462" s="16"/>
      <c r="D462" s="16"/>
      <c r="E462" s="16"/>
      <c r="F462" s="16"/>
      <c r="G462" s="16"/>
      <c r="H462" s="16"/>
    </row>
    <row r="463" spans="1:8">
      <c r="A463" s="16"/>
      <c r="B463" s="16"/>
      <c r="C463" s="16"/>
      <c r="D463" s="16"/>
      <c r="E463" s="16"/>
      <c r="F463" s="16"/>
      <c r="G463" s="16"/>
      <c r="H463" s="16"/>
    </row>
    <row r="464" spans="1:8">
      <c r="A464" s="16"/>
      <c r="B464" s="16"/>
      <c r="C464" s="16"/>
      <c r="D464" s="16"/>
      <c r="E464" s="16"/>
      <c r="F464" s="16"/>
      <c r="G464" s="16"/>
      <c r="H464" s="16"/>
    </row>
    <row r="465" spans="1:8">
      <c r="A465" s="16"/>
      <c r="B465" s="16"/>
      <c r="C465" s="16"/>
      <c r="D465" s="16"/>
      <c r="E465" s="16"/>
      <c r="F465" s="16"/>
      <c r="G465" s="16"/>
      <c r="H465" s="16"/>
    </row>
    <row r="466" spans="1:8">
      <c r="A466" s="16"/>
      <c r="B466" s="16"/>
      <c r="C466" s="16"/>
      <c r="D466" s="16"/>
      <c r="E466" s="16"/>
      <c r="F466" s="16"/>
      <c r="G466" s="16"/>
      <c r="H466" s="16"/>
    </row>
    <row r="467" spans="1:8">
      <c r="A467" s="16"/>
      <c r="B467" s="16"/>
      <c r="C467" s="16"/>
      <c r="D467" s="16"/>
      <c r="E467" s="16"/>
      <c r="F467" s="16"/>
      <c r="G467" s="16"/>
      <c r="H467" s="16"/>
    </row>
    <row r="468" spans="1:8">
      <c r="A468" s="16"/>
      <c r="B468" s="16"/>
      <c r="C468" s="16"/>
      <c r="D468" s="16"/>
      <c r="E468" s="16"/>
      <c r="F468" s="16"/>
      <c r="G468" s="16"/>
      <c r="H468" s="16"/>
    </row>
    <row r="469" spans="1:8">
      <c r="A469" s="16"/>
      <c r="B469" s="16"/>
      <c r="C469" s="16"/>
      <c r="D469" s="16"/>
      <c r="E469" s="16"/>
      <c r="F469" s="16"/>
      <c r="G469" s="16"/>
      <c r="H469" s="16"/>
    </row>
    <row r="470" spans="1:8">
      <c r="A470" s="16"/>
      <c r="B470" s="16"/>
      <c r="C470" s="16"/>
      <c r="D470" s="16"/>
      <c r="E470" s="16"/>
      <c r="F470" s="16"/>
      <c r="G470" s="16"/>
      <c r="H470" s="16"/>
    </row>
    <row r="471" spans="1:8">
      <c r="A471" s="16"/>
      <c r="B471" s="16"/>
      <c r="C471" s="16"/>
      <c r="D471" s="16"/>
      <c r="E471" s="16"/>
      <c r="F471" s="16"/>
      <c r="G471" s="16"/>
      <c r="H471" s="16"/>
    </row>
    <row r="472" spans="1:8">
      <c r="A472" s="16"/>
      <c r="B472" s="16"/>
      <c r="C472" s="16"/>
      <c r="D472" s="16"/>
      <c r="E472" s="16"/>
      <c r="F472" s="16"/>
      <c r="G472" s="16"/>
      <c r="H472" s="16"/>
    </row>
    <row r="473" spans="1:8">
      <c r="A473" s="16"/>
      <c r="B473" s="16"/>
      <c r="C473" s="16"/>
      <c r="D473" s="16"/>
      <c r="E473" s="16"/>
      <c r="F473" s="16"/>
      <c r="G473" s="16"/>
      <c r="H473" s="16"/>
    </row>
    <row r="474" spans="1:8">
      <c r="A474" s="16"/>
      <c r="B474" s="16"/>
      <c r="C474" s="16"/>
      <c r="D474" s="16"/>
      <c r="E474" s="16"/>
      <c r="F474" s="16"/>
      <c r="G474" s="16"/>
      <c r="H474" s="16"/>
    </row>
    <row r="475" spans="1:8">
      <c r="A475" s="16"/>
      <c r="B475" s="16"/>
      <c r="C475" s="16"/>
      <c r="D475" s="16"/>
      <c r="E475" s="16"/>
      <c r="F475" s="16"/>
      <c r="G475" s="16"/>
      <c r="H475" s="16"/>
    </row>
    <row r="476" spans="1:8">
      <c r="A476" s="16"/>
      <c r="B476" s="16"/>
      <c r="C476" s="16"/>
      <c r="D476" s="16"/>
      <c r="E476" s="16"/>
      <c r="F476" s="16"/>
      <c r="G476" s="16"/>
      <c r="H476" s="16"/>
    </row>
    <row r="477" spans="1:8">
      <c r="A477" s="16"/>
      <c r="B477" s="16"/>
      <c r="C477" s="16"/>
      <c r="D477" s="16"/>
      <c r="E477" s="16"/>
      <c r="F477" s="16"/>
      <c r="G477" s="16"/>
      <c r="H477" s="16"/>
    </row>
    <row r="478" spans="1:8">
      <c r="A478" s="16"/>
      <c r="B478" s="16"/>
      <c r="C478" s="16"/>
      <c r="D478" s="16"/>
      <c r="E478" s="16"/>
      <c r="F478" s="16"/>
      <c r="G478" s="16"/>
      <c r="H478" s="16"/>
    </row>
    <row r="479" spans="1:8">
      <c r="A479" s="16"/>
      <c r="B479" s="16"/>
      <c r="C479" s="16"/>
      <c r="D479" s="16"/>
      <c r="E479" s="16"/>
      <c r="F479" s="16"/>
      <c r="G479" s="16"/>
      <c r="H479" s="16"/>
    </row>
    <row r="480" spans="1:8">
      <c r="A480" s="16"/>
      <c r="B480" s="16"/>
      <c r="C480" s="16"/>
      <c r="D480" s="16"/>
      <c r="E480" s="16"/>
      <c r="F480" s="16"/>
      <c r="G480" s="16"/>
      <c r="H480" s="16"/>
    </row>
    <row r="481" spans="1:8">
      <c r="A481" s="16"/>
      <c r="B481" s="16"/>
      <c r="C481" s="16"/>
      <c r="D481" s="16"/>
      <c r="E481" s="16"/>
      <c r="F481" s="16"/>
      <c r="G481" s="16"/>
      <c r="H481" s="16"/>
    </row>
    <row r="482" spans="1:8">
      <c r="A482" s="16"/>
      <c r="B482" s="16"/>
      <c r="C482" s="16"/>
      <c r="D482" s="16"/>
      <c r="E482" s="16"/>
      <c r="F482" s="16"/>
      <c r="G482" s="16"/>
      <c r="H482" s="16"/>
    </row>
    <row r="483" spans="1:8">
      <c r="A483" s="16"/>
      <c r="B483" s="16"/>
      <c r="C483" s="16"/>
      <c r="D483" s="16"/>
      <c r="E483" s="16"/>
      <c r="F483" s="16"/>
      <c r="G483" s="16"/>
      <c r="H483" s="16"/>
    </row>
    <row r="484" spans="1:8">
      <c r="A484" s="16"/>
      <c r="B484" s="16"/>
      <c r="C484" s="16"/>
      <c r="D484" s="16"/>
      <c r="E484" s="16"/>
      <c r="F484" s="16"/>
      <c r="G484" s="16"/>
      <c r="H484" s="16"/>
    </row>
    <row r="485" spans="1:8">
      <c r="A485" s="16"/>
      <c r="B485" s="16"/>
      <c r="C485" s="16"/>
      <c r="D485" s="16"/>
      <c r="E485" s="16"/>
      <c r="F485" s="16"/>
      <c r="G485" s="16"/>
      <c r="H485" s="16"/>
    </row>
    <row r="486" spans="1:8">
      <c r="A486" s="16"/>
      <c r="B486" s="16"/>
      <c r="C486" s="16"/>
      <c r="D486" s="16"/>
      <c r="E486" s="16"/>
      <c r="F486" s="16"/>
      <c r="G486" s="16"/>
      <c r="H486" s="16"/>
    </row>
    <row r="487" spans="1:8">
      <c r="A487" s="16"/>
      <c r="B487" s="16"/>
      <c r="C487" s="16"/>
      <c r="D487" s="16"/>
      <c r="E487" s="16"/>
      <c r="F487" s="16"/>
      <c r="G487" s="16"/>
      <c r="H487" s="16"/>
    </row>
    <row r="488" spans="1:8">
      <c r="A488" s="16"/>
      <c r="B488" s="16"/>
      <c r="C488" s="16"/>
      <c r="D488" s="16"/>
      <c r="E488" s="16"/>
      <c r="F488" s="16"/>
      <c r="G488" s="16"/>
      <c r="H488" s="16"/>
    </row>
    <row r="489" spans="1:8">
      <c r="A489" s="16"/>
      <c r="B489" s="16"/>
      <c r="C489" s="16"/>
      <c r="D489" s="16"/>
      <c r="E489" s="16"/>
      <c r="F489" s="16"/>
      <c r="G489" s="16"/>
      <c r="H489" s="16"/>
    </row>
    <row r="490" spans="1:8">
      <c r="A490" s="16"/>
      <c r="B490" s="16"/>
      <c r="C490" s="16"/>
      <c r="D490" s="16"/>
      <c r="E490" s="16"/>
      <c r="F490" s="16"/>
      <c r="G490" s="16"/>
      <c r="H490" s="16"/>
    </row>
    <row r="491" spans="1:8">
      <c r="A491" s="16"/>
      <c r="B491" s="16"/>
      <c r="C491" s="16"/>
      <c r="D491" s="16"/>
      <c r="E491" s="16"/>
      <c r="F491" s="16"/>
      <c r="G491" s="16"/>
      <c r="H491" s="16"/>
    </row>
    <row r="492" spans="1:8">
      <c r="A492" s="16"/>
      <c r="B492" s="16"/>
      <c r="C492" s="16"/>
      <c r="D492" s="16"/>
      <c r="E492" s="16"/>
      <c r="F492" s="16"/>
      <c r="G492" s="16"/>
      <c r="H492" s="16"/>
    </row>
    <row r="493" spans="1:8">
      <c r="A493" s="16"/>
      <c r="B493" s="16"/>
      <c r="C493" s="16"/>
      <c r="D493" s="16"/>
      <c r="E493" s="16"/>
      <c r="F493" s="16"/>
      <c r="G493" s="16"/>
      <c r="H493" s="16"/>
    </row>
    <row r="494" spans="1:8">
      <c r="A494" s="16"/>
      <c r="B494" s="16"/>
      <c r="C494" s="16"/>
      <c r="D494" s="16"/>
      <c r="E494" s="16"/>
      <c r="F494" s="16"/>
      <c r="G494" s="16"/>
      <c r="H494" s="16"/>
    </row>
    <row r="495" spans="1:8">
      <c r="A495" s="16"/>
      <c r="B495" s="16"/>
      <c r="C495" s="16"/>
      <c r="D495" s="16"/>
      <c r="E495" s="16"/>
      <c r="F495" s="16"/>
      <c r="G495" s="16"/>
      <c r="H495" s="16"/>
    </row>
    <row r="496" spans="1:8">
      <c r="A496" s="16"/>
      <c r="B496" s="16"/>
      <c r="C496" s="16"/>
      <c r="D496" s="16"/>
      <c r="E496" s="16"/>
      <c r="F496" s="16"/>
      <c r="G496" s="16"/>
      <c r="H496" s="16"/>
    </row>
    <row r="497" spans="1:8">
      <c r="A497" s="16"/>
      <c r="B497" s="16"/>
      <c r="C497" s="16"/>
      <c r="D497" s="16"/>
      <c r="E497" s="16"/>
      <c r="F497" s="16"/>
      <c r="G497" s="16"/>
      <c r="H497" s="16"/>
    </row>
    <row r="498" spans="1:8">
      <c r="A498" s="16"/>
      <c r="B498" s="16"/>
      <c r="C498" s="16"/>
      <c r="D498" s="16"/>
      <c r="E498" s="16"/>
      <c r="F498" s="16"/>
      <c r="G498" s="16"/>
      <c r="H498" s="16"/>
    </row>
    <row r="499" spans="1:8">
      <c r="A499" s="16"/>
      <c r="B499" s="16"/>
      <c r="C499" s="16"/>
      <c r="D499" s="16"/>
      <c r="E499" s="16"/>
      <c r="F499" s="16"/>
      <c r="G499" s="16"/>
      <c r="H499" s="16"/>
    </row>
    <row r="500" spans="1:8">
      <c r="A500" s="16"/>
      <c r="B500" s="16"/>
      <c r="C500" s="16"/>
      <c r="D500" s="16"/>
      <c r="E500" s="16"/>
      <c r="F500" s="16"/>
      <c r="G500" s="16"/>
      <c r="H500" s="16"/>
    </row>
    <row r="501" spans="1:8">
      <c r="A501" s="16"/>
      <c r="B501" s="16"/>
      <c r="C501" s="16"/>
      <c r="D501" s="16"/>
      <c r="E501" s="16"/>
      <c r="F501" s="16"/>
      <c r="G501" s="16"/>
      <c r="H501" s="16"/>
    </row>
    <row r="502" spans="1:8">
      <c r="A502" s="16"/>
      <c r="B502" s="16"/>
      <c r="C502" s="16"/>
      <c r="D502" s="16"/>
      <c r="E502" s="16"/>
      <c r="F502" s="16"/>
      <c r="G502" s="16"/>
      <c r="H502" s="16"/>
    </row>
    <row r="503" spans="1:8">
      <c r="A503" s="16"/>
      <c r="B503" s="16"/>
      <c r="C503" s="16"/>
      <c r="D503" s="16"/>
      <c r="E503" s="16"/>
      <c r="F503" s="16"/>
      <c r="G503" s="16"/>
      <c r="H503" s="16"/>
    </row>
    <row r="504" spans="1:8">
      <c r="A504" s="16"/>
      <c r="B504" s="16"/>
      <c r="C504" s="16"/>
      <c r="D504" s="16"/>
      <c r="E504" s="16"/>
      <c r="F504" s="16"/>
      <c r="G504" s="16"/>
      <c r="H504" s="16"/>
    </row>
    <row r="505" spans="1:8">
      <c r="A505" s="16"/>
      <c r="B505" s="16"/>
      <c r="C505" s="16"/>
      <c r="D505" s="16"/>
      <c r="E505" s="16"/>
      <c r="F505" s="16"/>
      <c r="G505" s="16"/>
      <c r="H505" s="16"/>
    </row>
    <row r="506" spans="1:8">
      <c r="A506" s="16"/>
      <c r="B506" s="16"/>
      <c r="C506" s="16"/>
      <c r="D506" s="16"/>
      <c r="E506" s="16"/>
      <c r="F506" s="16"/>
      <c r="G506" s="16"/>
      <c r="H506" s="16"/>
    </row>
    <row r="507" spans="1:8">
      <c r="A507" s="16"/>
      <c r="B507" s="16"/>
      <c r="C507" s="16"/>
      <c r="D507" s="16"/>
      <c r="E507" s="16"/>
      <c r="F507" s="16"/>
      <c r="G507" s="16"/>
      <c r="H507" s="16"/>
    </row>
    <row r="508" spans="1:8">
      <c r="A508" s="16"/>
      <c r="B508" s="16"/>
      <c r="C508" s="16"/>
      <c r="D508" s="16"/>
      <c r="E508" s="16"/>
      <c r="F508" s="16"/>
      <c r="G508" s="16"/>
      <c r="H508" s="16"/>
    </row>
    <row r="509" spans="1:8">
      <c r="A509" s="16"/>
      <c r="B509" s="16"/>
      <c r="C509" s="16"/>
      <c r="D509" s="16"/>
      <c r="E509" s="16"/>
      <c r="F509" s="16"/>
      <c r="G509" s="16"/>
      <c r="H509" s="16"/>
    </row>
    <row r="510" spans="1:8">
      <c r="A510" s="16"/>
      <c r="B510" s="16"/>
      <c r="C510" s="16"/>
      <c r="D510" s="16"/>
      <c r="E510" s="16"/>
      <c r="F510" s="16"/>
      <c r="G510" s="16"/>
      <c r="H510" s="16"/>
    </row>
    <row r="511" spans="1:8">
      <c r="A511" s="16"/>
      <c r="B511" s="16"/>
      <c r="C511" s="16"/>
      <c r="D511" s="16"/>
      <c r="E511" s="16"/>
      <c r="F511" s="16"/>
      <c r="G511" s="16"/>
      <c r="H511" s="16"/>
    </row>
    <row r="512" spans="1:8">
      <c r="A512" s="16"/>
      <c r="B512" s="16"/>
      <c r="C512" s="16"/>
      <c r="D512" s="16"/>
      <c r="E512" s="16"/>
      <c r="F512" s="16"/>
      <c r="G512" s="16"/>
      <c r="H512" s="16"/>
    </row>
    <row r="513" spans="1:8">
      <c r="A513" s="16"/>
      <c r="B513" s="16"/>
      <c r="C513" s="16"/>
      <c r="D513" s="16"/>
      <c r="E513" s="16"/>
      <c r="F513" s="16"/>
      <c r="G513" s="16"/>
      <c r="H513" s="16"/>
    </row>
    <row r="514" spans="1:8">
      <c r="A514" s="16"/>
      <c r="B514" s="16"/>
      <c r="C514" s="16"/>
      <c r="D514" s="16"/>
      <c r="E514" s="16"/>
      <c r="F514" s="16"/>
      <c r="G514" s="16"/>
      <c r="H514" s="16"/>
    </row>
    <row r="515" spans="1:8">
      <c r="A515" s="16"/>
      <c r="B515" s="16"/>
      <c r="C515" s="16"/>
      <c r="D515" s="16"/>
      <c r="E515" s="16"/>
      <c r="F515" s="16"/>
      <c r="G515" s="16"/>
      <c r="H515" s="16"/>
    </row>
    <row r="516" spans="1:8">
      <c r="A516" s="16"/>
      <c r="B516" s="16"/>
      <c r="C516" s="16"/>
      <c r="D516" s="16"/>
      <c r="E516" s="16"/>
      <c r="F516" s="16"/>
      <c r="G516" s="16"/>
      <c r="H516" s="16"/>
    </row>
    <row r="517" spans="1:8">
      <c r="A517" s="16"/>
      <c r="B517" s="16"/>
      <c r="C517" s="16"/>
      <c r="D517" s="16"/>
      <c r="E517" s="16"/>
      <c r="F517" s="16"/>
      <c r="G517" s="16"/>
      <c r="H517" s="16"/>
    </row>
    <row r="518" spans="1:8">
      <c r="A518" s="16"/>
      <c r="B518" s="16"/>
      <c r="C518" s="16"/>
      <c r="D518" s="16"/>
      <c r="E518" s="16"/>
      <c r="F518" s="16"/>
      <c r="G518" s="16"/>
      <c r="H518" s="16"/>
    </row>
    <row r="519" spans="1:8">
      <c r="A519" s="16"/>
      <c r="B519" s="16"/>
      <c r="C519" s="16"/>
      <c r="D519" s="16"/>
      <c r="E519" s="16"/>
      <c r="F519" s="16"/>
      <c r="G519" s="16"/>
      <c r="H519" s="16"/>
    </row>
    <row r="520" spans="1:8">
      <c r="A520" s="16"/>
      <c r="B520" s="16"/>
      <c r="C520" s="16"/>
      <c r="D520" s="16"/>
      <c r="E520" s="16"/>
      <c r="F520" s="16"/>
      <c r="G520" s="16"/>
      <c r="H520" s="16"/>
    </row>
    <row r="521" spans="1:8">
      <c r="A521" s="16"/>
      <c r="B521" s="16"/>
      <c r="C521" s="16"/>
      <c r="D521" s="16"/>
      <c r="E521" s="16"/>
      <c r="F521" s="16"/>
      <c r="G521" s="16"/>
      <c r="H521" s="16"/>
    </row>
    <row r="522" spans="1:8">
      <c r="A522" s="16"/>
      <c r="B522" s="16"/>
      <c r="C522" s="16"/>
      <c r="D522" s="16"/>
      <c r="E522" s="16"/>
      <c r="F522" s="16"/>
      <c r="G522" s="16"/>
      <c r="H522" s="16"/>
    </row>
    <row r="523" spans="1:8">
      <c r="A523" s="16"/>
      <c r="B523" s="16"/>
      <c r="C523" s="16"/>
      <c r="D523" s="16"/>
      <c r="E523" s="16"/>
      <c r="F523" s="16"/>
      <c r="G523" s="16"/>
      <c r="H523" s="16"/>
    </row>
    <row r="524" spans="1:8">
      <c r="A524" s="16"/>
      <c r="B524" s="16"/>
      <c r="C524" s="16"/>
      <c r="D524" s="16"/>
      <c r="E524" s="16"/>
      <c r="F524" s="16"/>
      <c r="G524" s="16"/>
      <c r="H524" s="16"/>
    </row>
    <row r="525" spans="1:8">
      <c r="A525" s="16"/>
      <c r="B525" s="16"/>
      <c r="C525" s="16"/>
      <c r="D525" s="16"/>
      <c r="E525" s="16"/>
      <c r="F525" s="16"/>
      <c r="G525" s="16"/>
      <c r="H525" s="16"/>
    </row>
    <row r="526" spans="1:8">
      <c r="A526" s="16"/>
      <c r="B526" s="16"/>
      <c r="C526" s="16"/>
      <c r="D526" s="16"/>
      <c r="E526" s="16"/>
      <c r="F526" s="16"/>
      <c r="G526" s="16"/>
      <c r="H526" s="16"/>
    </row>
    <row r="527" spans="1:8">
      <c r="A527" s="16"/>
      <c r="B527" s="16"/>
      <c r="C527" s="16"/>
      <c r="D527" s="16"/>
      <c r="E527" s="16"/>
      <c r="F527" s="16"/>
      <c r="G527" s="16"/>
      <c r="H527" s="16"/>
    </row>
    <row r="528" spans="1:8">
      <c r="A528" s="16"/>
      <c r="B528" s="16"/>
      <c r="C528" s="16"/>
      <c r="D528" s="16"/>
      <c r="E528" s="16"/>
      <c r="F528" s="16"/>
      <c r="G528" s="16"/>
      <c r="H528" s="16"/>
    </row>
    <row r="529" spans="1:8">
      <c r="A529" s="16"/>
      <c r="B529" s="16"/>
      <c r="C529" s="16"/>
      <c r="D529" s="16"/>
      <c r="E529" s="16"/>
      <c r="F529" s="16"/>
      <c r="G529" s="16"/>
      <c r="H529" s="16"/>
    </row>
    <row r="530" spans="1:8">
      <c r="A530" s="16"/>
      <c r="B530" s="16"/>
      <c r="C530" s="16"/>
      <c r="D530" s="16"/>
      <c r="E530" s="16"/>
      <c r="F530" s="16"/>
      <c r="G530" s="16"/>
      <c r="H530" s="16"/>
    </row>
    <row r="531" spans="1:8">
      <c r="A531" s="16"/>
      <c r="B531" s="16"/>
      <c r="C531" s="16"/>
      <c r="D531" s="16"/>
      <c r="E531" s="16"/>
      <c r="F531" s="16"/>
      <c r="G531" s="16"/>
      <c r="H531" s="16"/>
    </row>
    <row r="532" spans="1:8">
      <c r="A532" s="16"/>
      <c r="B532" s="16"/>
      <c r="C532" s="16"/>
      <c r="D532" s="16"/>
      <c r="E532" s="16"/>
      <c r="F532" s="16"/>
      <c r="G532" s="16"/>
      <c r="H532" s="16"/>
    </row>
    <row r="533" spans="1:8">
      <c r="A533" s="16"/>
      <c r="B533" s="16"/>
      <c r="C533" s="16"/>
      <c r="D533" s="16"/>
      <c r="E533" s="16"/>
      <c r="F533" s="16"/>
      <c r="G533" s="16"/>
      <c r="H533" s="16"/>
    </row>
    <row r="534" spans="1:8">
      <c r="A534" s="16"/>
      <c r="B534" s="16"/>
      <c r="C534" s="16"/>
      <c r="D534" s="16"/>
      <c r="E534" s="16"/>
      <c r="F534" s="16"/>
      <c r="G534" s="16"/>
      <c r="H534" s="16"/>
    </row>
    <row r="535" spans="1:8">
      <c r="A535" s="16"/>
      <c r="B535" s="16"/>
      <c r="C535" s="16"/>
      <c r="D535" s="16"/>
      <c r="E535" s="16"/>
      <c r="F535" s="16"/>
      <c r="G535" s="16"/>
      <c r="H535" s="16"/>
    </row>
    <row r="536" spans="1:8">
      <c r="A536" s="16"/>
      <c r="B536" s="16"/>
      <c r="C536" s="16"/>
      <c r="D536" s="16"/>
      <c r="E536" s="16"/>
      <c r="F536" s="16"/>
      <c r="G536" s="16"/>
      <c r="H536" s="16"/>
    </row>
    <row r="537" spans="1:8">
      <c r="A537" s="16"/>
      <c r="B537" s="16"/>
      <c r="C537" s="16"/>
      <c r="D537" s="16"/>
      <c r="E537" s="16"/>
      <c r="F537" s="16"/>
      <c r="G537" s="16"/>
      <c r="H537" s="16"/>
    </row>
    <row r="538" spans="1:8">
      <c r="A538" s="16"/>
      <c r="B538" s="16"/>
      <c r="C538" s="16"/>
      <c r="D538" s="16"/>
      <c r="E538" s="16"/>
      <c r="F538" s="16"/>
      <c r="G538" s="16"/>
      <c r="H538" s="16"/>
    </row>
    <row r="539" spans="1:8">
      <c r="A539" s="16"/>
      <c r="B539" s="16"/>
      <c r="C539" s="16"/>
      <c r="D539" s="16"/>
      <c r="E539" s="16"/>
      <c r="F539" s="16"/>
      <c r="G539" s="16"/>
      <c r="H539" s="16"/>
    </row>
  </sheetData>
  <autoFilter ref="A1:H181" xr:uid="{00000000-0009-0000-0000-000000000000}"/>
  <mergeCells count="7">
    <mergeCell ref="D266:E266"/>
    <mergeCell ref="D245:E245"/>
    <mergeCell ref="E62:F62"/>
    <mergeCell ref="B5:B7"/>
    <mergeCell ref="E105:F105"/>
    <mergeCell ref="D238:E238"/>
    <mergeCell ref="C2:G2"/>
  </mergeCells>
  <dataValidations count="54">
    <dataValidation type="whole" allowBlank="1" showInputMessage="1" showErrorMessage="1" errorTitle="Za długa ;)" error="długość do 1000" sqref="D363" xr:uid="{DF38FF21-34A1-4BAD-9661-A1620BAD168D}">
      <formula1>1</formula1>
      <formula2>1000</formula2>
    </dataValidation>
    <dataValidation type="whole" allowBlank="1" showInputMessage="1" showErrorMessage="1" errorTitle="Za długa ;)" error="Długość do 1000" sqref="D370" xr:uid="{60942D18-6D6E-4526-B23A-39A300BC866A}">
      <formula1>1</formula1>
      <formula2>1000</formula2>
    </dataValidation>
    <dataValidation type="whole" allowBlank="1" showInputMessage="1" showErrorMessage="1" errorTitle="Za mała wartość !!!" error="Długość = Wysokość + 50mm" prompt="Długość musi mieć więcej o 50mm niż wysokość!!!" sqref="D12" xr:uid="{1114E666-1B94-4D72-A634-C0C6AB1819C5}">
      <formula1>E10+50</formula1>
      <formula2>1000</formula2>
    </dataValidation>
    <dataValidation type="whole" allowBlank="1" showInputMessage="1" showErrorMessage="1" error="Nieprawidłowa wartość wpisz od 100-2500" sqref="D6" xr:uid="{719D8043-61A3-4151-AB74-D5D03C912A63}">
      <formula1>100</formula1>
      <formula2>2500</formula2>
    </dataValidation>
    <dataValidation type="whole" allowBlank="1" showInputMessage="1" showErrorMessage="1" error="Nieprawidłowa wartość wpisz od 100-2000" sqref="E6" xr:uid="{1508A3D8-51C6-4081-ABDC-4C24BD1F2C9D}">
      <formula1>100</formula1>
      <formula2>2000</formula2>
    </dataValidation>
    <dataValidation operator="lessThan" allowBlank="1" showInputMessage="1" showErrorMessage="1" sqref="F59" xr:uid="{74EF61EB-F972-47C4-9F81-036F55DD9835}"/>
    <dataValidation type="whole" allowBlank="1" showInputMessage="1" showErrorMessage="1" error="Nieprawidłowy wymiar kulisy!!!" promptTitle="Szerokość kulisy:" prompt="100, 150, 200" sqref="E59" xr:uid="{819D1D61-B199-4D7F-B13C-22A4D7449934}">
      <formula1>50</formula1>
      <formula2>200</formula2>
    </dataValidation>
    <dataValidation type="whole" operator="lessThanOrEqual" allowBlank="1" showInputMessage="1" showErrorMessage="1" error="Wartość musi być mniejsza lub równa niż wymiar A" sqref="E229 E284 E326 E390 E292 E235" xr:uid="{285393AC-1B21-4A2C-B75B-CB86E5381E63}">
      <formula1>D229</formula1>
    </dataValidation>
    <dataValidation type="whole" operator="greaterThanOrEqual" allowBlank="1" showInputMessage="1" showErrorMessage="1" error="Minimalna wartość  2 !!!" sqref="F190 F181 F199" xr:uid="{D17EA0DC-9001-4D28-9387-5DDE73C4D2F6}">
      <formula1>2</formula1>
    </dataValidation>
    <dataValidation type="list" allowBlank="1" showInputMessage="1" showErrorMessage="1" errorTitle="Za dużo liter !!!" error="Wpisz W lub P" promptTitle="Typ filtra" prompt="wpisz &quot;W&quot; jeśli filtr wygięty  lub &quot;P&quot; jeśli płaski" sqref="E335" xr:uid="{913A902F-6CAC-4633-89F1-F758604A8675}">
      <formula1>"W,P"</formula1>
    </dataValidation>
    <dataValidation type="whole" operator="lessThanOrEqual" allowBlank="1" showInputMessage="1" showErrorMessage="1" error="Długość max L=500" prompt="Wymiar  B do 500 długość L=100 powyżej L=200" sqref="D216" xr:uid="{BC1BA189-6726-44A9-847C-7A0160886A57}">
      <formula1>500</formula1>
    </dataValidation>
    <dataValidation type="whole" operator="greaterThanOrEqual" allowBlank="1" showInputMessage="1" showErrorMessage="1" error="Zbyt mała długość !!!" prompt="Długość standardowa 100" sqref="D223" xr:uid="{AA6F3DDE-6B98-4FF2-B8A8-1AD02A845362}">
      <formula1>50</formula1>
    </dataValidation>
    <dataValidation type="whole" operator="lessThan" allowBlank="1" showInputMessage="1" showErrorMessage="1" error="Za duża średnica !!!" sqref="E154 E172 E163" xr:uid="{9A120168-4DEC-4D00-A080-807B04FA5AB4}">
      <formula1>E152</formula1>
    </dataValidation>
    <dataValidation allowBlank="1" showInputMessage="1" showErrorMessage="1" prompt="Wełna 40mm lub 50mm oraz wielokrotność wybranego wymiaru" sqref="D437" xr:uid="{1DB375E0-6FBF-4DC9-B96C-4E79A2ED1510}"/>
    <dataValidation allowBlank="1" showInputMessage="1" showErrorMessage="1" prompt="Szerokość (poziom)" sqref="D206" xr:uid="{12AAFFDC-67C1-4904-BA27-6FC264492176}"/>
    <dataValidation allowBlank="1" showInputMessage="1" showErrorMessage="1" prompt="Wysokość (pion)" sqref="E206" xr:uid="{A37D5BAA-6218-4D47-9FF4-A0CE624419A2}"/>
    <dataValidation allowBlank="1" showInputMessage="1" showErrorMessage="1" prompt="Standardowa wysokość 300mm" sqref="D37 D30" xr:uid="{E7E529A5-75AD-4F1C-B0A2-0522A4DB8D30}"/>
    <dataValidation allowBlank="1" showInputMessage="1" showErrorMessage="1" prompt="Wysokość lamel" sqref="D23" xr:uid="{43238611-FD34-4D1A-B98F-B3FF4B075C4A}"/>
    <dataValidation type="whole" operator="greaterThan" allowBlank="1" showInputMessage="1" showErrorMessage="1" error="Wysokość H musi być większa niż wysokość h !!!" prompt="Wysokość całkowita (lamele+stopa)" sqref="E23" xr:uid="{4F865EE9-8F4E-45D9-BC72-15EA8AE33B1B}">
      <formula1>D23</formula1>
    </dataValidation>
    <dataValidation type="whole" operator="lessThanOrEqual" allowBlank="1" showInputMessage="1" showErrorMessage="1" error="Maxymalna długość 1500 !!!" sqref="D356 D426 F412 F410 F419 F417" xr:uid="{8FE67D25-8382-4C59-BE3B-BC950EC48316}">
      <formula1>1500</formula1>
    </dataValidation>
    <dataValidation type="whole" operator="greaterThanOrEqual" allowBlank="1" showInputMessage="1" showErrorMessage="1" error="Długość minimum 100!!!" prompt="Wymiar A większy lub równy od wymiaru B !!!" sqref="D229 D284 D326 D390 D292 D235" xr:uid="{CA0E87FB-03ED-490D-BD6F-5FFC5B6BB07E}">
      <formula1>100</formula1>
    </dataValidation>
    <dataValidation type="whole" operator="greaterThanOrEqual" allowBlank="1" showInputMessage="1" showErrorMessage="1" error="Wartość minimalna 200 !!!" sqref="D28 D35 D21" xr:uid="{871DE926-B4DF-43B4-8FD0-F5AAFB0371A2}">
      <formula1>200</formula1>
    </dataValidation>
    <dataValidation type="whole" operator="greaterThanOrEqual" allowBlank="1" showInputMessage="1" showErrorMessage="1" error="Wartość minimalna 180 !!!" sqref="E21 E28 E35" xr:uid="{439BA94C-5F75-445B-A678-AA8B40B736EE}">
      <formula1>180</formula1>
    </dataValidation>
    <dataValidation type="whole" operator="lessThanOrEqual" allowBlank="1" showInputMessage="1" showErrorMessage="1" error="Długość do 1500 " sqref="E68" xr:uid="{8F6D297A-6624-4E23-BCE6-8F8A902F8693}">
      <formula1>1500</formula1>
    </dataValidation>
    <dataValidation allowBlank="1" showInputMessage="1" showErrorMessage="1" prompt="Aereco - nitonakrętki M6_x000a_Harmann, Brookwent - nitonaketki M8" sqref="F76" xr:uid="{DCBB821D-AD39-4ADC-8F1D-078A92D73A14}"/>
    <dataValidation type="whole" operator="lessThanOrEqual" allowBlank="1" showInputMessage="1" showErrorMessage="1" error="Wymiar B musi być mniejszy bądz równy od wymiaru A" sqref="E354 E424 E417 E410" xr:uid="{8F5D5E2A-9525-41E4-AEEF-80C749BB5E0F}">
      <formula1>D354</formula1>
    </dataValidation>
    <dataValidation type="list" allowBlank="1" showInputMessage="1" showErrorMessage="1" error="Wybierz z listy &quot;A&quot;- AERECO lub &quot;H&quot; - HARMAN/BROOKWENT" sqref="F77" xr:uid="{ECD984C7-D080-4D04-9F91-4CE55CCECC85}">
      <formula1>"A,H"</formula1>
    </dataValidation>
    <dataValidation type="list" allowBlank="1" showInputMessage="1" showErrorMessage="1" error="Wybierz z listy &quot;A&quot;- AERECO lub &quot;H&quot; - HARMAN/BROOKWENT" sqref="E439 D378 D414 D421 F426" xr:uid="{351DE164-440C-4A3D-9501-67BFA10874F7}">
      <formula1>"TAK,NIE"</formula1>
    </dataValidation>
    <dataValidation type="list" allowBlank="1" showInputMessage="1" showErrorMessage="1" error="Wybierz z listy &quot;A&quot;- AERECO lub &quot;H&quot; - HARMAN/BROOKWENT" sqref="D441" xr:uid="{DCB51380-B047-4208-B49D-85EC1DAC66CC}">
      <formula1>"8,12,16"</formula1>
    </dataValidation>
    <dataValidation type="list" allowBlank="1" showInputMessage="1" showErrorMessage="1" error="Wybierz z listy &quot;A&quot;- AERECO lub &quot;H&quot; - HARMAN/BROOKWENT" sqref="E441" xr:uid="{7F1FDFB6-D87E-4088-94EB-306E591E4B76}">
      <formula1>"M8,M10"</formula1>
    </dataValidation>
    <dataValidation type="whole" operator="greaterThan" allowBlank="1" showInputMessage="1" showErrorMessage="1" error="Średnica zewnętrzna musi być większa niż średnica wewnętrzna !!!" sqref="E437" xr:uid="{3854EB95-D4C0-4B36-A44E-4042C8E26827}">
      <formula1>D437</formula1>
    </dataValidation>
    <dataValidation type="list" allowBlank="1" showInputMessage="1" showErrorMessage="1" error="Wybierz z listy &quot;A&quot;- AERECO lub &quot;H&quot; - HARMAN/BROOKWENT" sqref="D8" xr:uid="{2DC432CA-5CB3-41F1-9472-F01E4275F8CC}">
      <formula1>"R,B"</formula1>
    </dataValidation>
    <dataValidation allowBlank="1" showInputMessage="1" showErrorMessage="1" prompt="Ręczna / Pod siłownik" sqref="D7" xr:uid="{14B155BB-4756-4C34-A9C8-F8CD771C7D8D}"/>
    <dataValidation type="list" allowBlank="1" showInputMessage="1" showErrorMessage="1" error="Wybierz z listy &quot;A&quot;- AERECO lub &quot;H&quot; - HARMAN/BROOKWENT" sqref="E385" xr:uid="{3BB8DC9A-5AA6-418E-B4E9-189E4AEFB404}">
      <formula1>"Kątownik,Ceownik"</formula1>
    </dataValidation>
    <dataValidation type="list" allowBlank="1" showInputMessage="1" showErrorMessage="1" sqref="E378 E392" xr:uid="{D228979B-7EAA-4FDF-9239-A57058EF18D5}">
      <formula1>"TAK,NIE"</formula1>
    </dataValidation>
    <dataValidation type="list" allowBlank="1" showInputMessage="1" showErrorMessage="1" sqref="F385" xr:uid="{D7CA1023-5A9E-4E34-A765-D36199971962}">
      <formula1>"0,6;0,8"</formula1>
    </dataValidation>
    <dataValidation type="list" allowBlank="1" showInputMessage="1" showErrorMessage="1" sqref="F392" xr:uid="{05DDB72D-2E94-4D90-9B18-A731AB53EC19}">
      <formula1>"Kopertowa,Prosta"</formula1>
    </dataValidation>
    <dataValidation type="list" allowBlank="1" showInputMessage="1" showErrorMessage="1" error="Wybierz z listy &quot;A&quot;- AERECO lub &quot;H&quot; - HARMAN/BROOKWENT" prompt="Ilość śrub skrzydełkowych M6 w rewizji" sqref="D183 D192" xr:uid="{916CBA37-FABD-4D7C-B4AD-168EA0A52CC7}">
      <formula1>"0,2,3,4,6,8"</formula1>
    </dataValidation>
    <dataValidation type="list" allowBlank="1" showInputMessage="1" showErrorMessage="1" prompt="Wełna 40mm lub 50mm oraz wielokrotność wybranego wymiaru" sqref="D66" xr:uid="{5DBC2E30-D623-449D-BAA3-11610198C0D3}">
      <formula1>"40,50,80,100"</formula1>
    </dataValidation>
    <dataValidation type="list" allowBlank="1" showInputMessage="1" showErrorMessage="1" error="Wybierz z listy &quot;A&quot;- AERECO lub &quot;H&quot; - HARMAN/BROOKWENT" sqref="E426" xr:uid="{B65EE26D-39E5-47A5-A081-E5F7B504E278}">
      <formula1>"A,B,C,Olejo"</formula1>
    </dataValidation>
    <dataValidation type="list" allowBlank="1" showInputMessage="1" showErrorMessage="1" error="Wybierz z listy &quot;A&quot;- AERECO lub &quot;H&quot; - HARMAN/BROOKWENT" sqref="E431" xr:uid="{88EC51F2-49F5-4F05-808A-B341BC6DF702}">
      <formula1>"V-TRAP czerpnia,V-TRAP wyrzutnia,USOL czerpnia,USOL wyrzutnia"</formula1>
    </dataValidation>
    <dataValidation type="whole" allowBlank="1" showInputMessage="1" showErrorMessage="1" errorTitle="Za długa ;)" error="długość do 200" sqref="D398" xr:uid="{CFE368D6-10B1-41AF-8E33-D9C5776EC59F}">
      <formula1>50</formula1>
      <formula2>200</formula2>
    </dataValidation>
    <dataValidation type="list" allowBlank="1" showInputMessage="1" showErrorMessage="1" error="Wybierz z listy &quot;A&quot;- AERECO lub &quot;H&quot; - HARMAN/BROOKWENT" sqref="E368 E361" xr:uid="{28820C2F-D6F7-4F1D-8822-B9F9EFA0B87B}">
      <formula1>"Brak, Zwykły silikon, Olejoodporny "</formula1>
    </dataValidation>
    <dataValidation type="list" allowBlank="1" showInputMessage="1" showErrorMessage="1" sqref="D112" xr:uid="{1145FAA4-9D17-4CA5-9F9F-00262EBC93E3}">
      <formula1>"20,30,40,50"</formula1>
    </dataValidation>
    <dataValidation type="list" allowBlank="1" showInputMessage="1" showErrorMessage="1" error="Wybierz z listy &quot;A&quot;- AERECO lub &quot;H&quot; - HARMAN/BROOKWENT" prompt="Ilość śrub skrzydełkowych M6 w rewizji" sqref="F201" xr:uid="{285099E1-C637-48D2-9959-C34ABC278637}">
      <formula1>"0,2,3,4,5,6,7,8"</formula1>
    </dataValidation>
    <dataValidation type="list" allowBlank="1" showInputMessage="1" showErrorMessage="1" sqref="E363 E370" xr:uid="{A5F4BD6C-CE15-4A25-8A91-369F38E66F56}">
      <formula1>"Brak,30,40,50"</formula1>
    </dataValidation>
    <dataValidation type="list" allowBlank="1" showInputMessage="1" showErrorMessage="1" errorTitle="Brak izolacji!" error="Nie można wybrać dekla jeśli rura jest bez izolacji" sqref="D365:E365" xr:uid="{9488F937-CDBB-4813-B18E-0FBBA2029EDE}">
      <formula1>"Brak,Dekiel,Redukcja"</formula1>
    </dataValidation>
    <dataValidation type="whole" operator="lessThanOrEqual" allowBlank="1" showInputMessage="1" showErrorMessage="1" error="Wymiar B (góra) musi być mniejszy lub równy  od wymiaru B (dół)" sqref="E412 E419" xr:uid="{BEC8F6C7-6522-4028-B7A3-10C5B8FB47F4}">
      <formula1>E410</formula1>
    </dataValidation>
    <dataValidation type="whole" operator="lessThanOrEqual" allowBlank="1" showInputMessage="1" showErrorMessage="1" error="Wymiar A (góra) musi być mniejszy lub równy od wymiaru A (dół)" sqref="D412 D419" xr:uid="{B9121643-4D42-4463-8A08-1892D660F29F}">
      <formula1>D410</formula1>
    </dataValidation>
    <dataValidation allowBlank="1" showInputMessage="1" showErrorMessage="1" prompt="w produkcja: WYS H DUŻE" sqref="D411 D418" xr:uid="{5B9AECAF-B637-4CDE-8D27-CBF131D82479}"/>
    <dataValidation allowBlank="1" showInputMessage="1" showErrorMessage="1" prompt="w produkcja: WYS H MAŁE" sqref="E411 E418" xr:uid="{2CAF2DC9-B285-4125-A023-47F603FAC257}"/>
    <dataValidation allowBlank="1" showInputMessage="1" showErrorMessage="1" prompt="w produkcja: SZER" sqref="D409 D416 D151 D160 D169 D395" xr:uid="{1B76D6BD-897C-400E-A162-C747210A6D2D}"/>
    <dataValidation allowBlank="1" showInputMessage="1" showErrorMessage="1" prompt="w produkcja: WYS" sqref="E409 E416 E395" xr:uid="{D57F0EF8-1EC0-4515-BA85-943642CDFDCC}"/>
    <dataValidation type="list" allowBlank="1" showInputMessage="1" showErrorMessage="1" sqref="D105" xr:uid="{08D12B6F-78CD-4BDC-A7C1-CFAB17CE33BA}">
      <formula1>"50,100"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portrait" r:id="rId1"/>
  <ignoredErrors>
    <ignoredError sqref="G66 E77 H377 H397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workbookViewId="0">
      <selection activeCell="C11" sqref="C11"/>
    </sheetView>
  </sheetViews>
  <sheetFormatPr defaultColWidth="9.109375" defaultRowHeight="14.4"/>
  <cols>
    <col min="1" max="1" width="32.88671875" style="49" customWidth="1"/>
    <col min="2" max="2" width="33.5546875" style="49" customWidth="1"/>
    <col min="3" max="3" width="11.6640625" style="50" customWidth="1"/>
    <col min="4" max="4" width="9.109375" style="49"/>
    <col min="5" max="5" width="12" style="49" customWidth="1"/>
    <col min="6" max="7" width="9.109375" style="49"/>
    <col min="8" max="8" width="24.44140625" style="49" customWidth="1"/>
    <col min="9" max="16384" width="9.109375" style="49"/>
  </cols>
  <sheetData>
    <row r="1" spans="1:6">
      <c r="A1" s="49" t="s">
        <v>967</v>
      </c>
    </row>
    <row r="4" spans="1:6">
      <c r="A4" s="48" t="s">
        <v>100</v>
      </c>
      <c r="B4" s="113" t="s">
        <v>251</v>
      </c>
      <c r="C4" s="13" t="s">
        <v>6</v>
      </c>
      <c r="D4" s="113" t="s">
        <v>68</v>
      </c>
      <c r="F4" s="113"/>
    </row>
    <row r="5" spans="1:6">
      <c r="A5" s="48"/>
      <c r="B5" s="113"/>
      <c r="C5" s="13"/>
      <c r="D5" s="113"/>
      <c r="F5" s="113"/>
    </row>
    <row r="6" spans="1:6">
      <c r="A6" s="49" t="s">
        <v>176</v>
      </c>
      <c r="B6" s="49" t="s">
        <v>127</v>
      </c>
      <c r="C6" s="358">
        <v>4.3</v>
      </c>
      <c r="D6" s="49" t="s">
        <v>17</v>
      </c>
    </row>
    <row r="7" spans="1:6">
      <c r="A7" s="100" t="s">
        <v>246</v>
      </c>
      <c r="B7" s="114" t="s">
        <v>257</v>
      </c>
      <c r="C7" s="358">
        <v>4.2</v>
      </c>
      <c r="D7" s="49" t="s">
        <v>17</v>
      </c>
    </row>
    <row r="8" spans="1:6">
      <c r="A8" s="100" t="s">
        <v>633</v>
      </c>
      <c r="B8" s="114" t="s">
        <v>631</v>
      </c>
      <c r="C8" s="358">
        <v>4.2</v>
      </c>
      <c r="D8" s="49" t="s">
        <v>17</v>
      </c>
    </row>
    <row r="9" spans="1:6">
      <c r="A9" s="100" t="s">
        <v>314</v>
      </c>
      <c r="B9" s="114" t="s">
        <v>638</v>
      </c>
      <c r="C9" s="358">
        <v>4.3</v>
      </c>
      <c r="D9" s="49" t="s">
        <v>17</v>
      </c>
    </row>
    <row r="10" spans="1:6">
      <c r="A10" s="100" t="s">
        <v>603</v>
      </c>
      <c r="B10" s="114" t="s">
        <v>604</v>
      </c>
      <c r="C10" s="358">
        <v>170</v>
      </c>
      <c r="D10" s="49" t="s">
        <v>605</v>
      </c>
      <c r="E10" s="49" t="s">
        <v>493</v>
      </c>
    </row>
    <row r="11" spans="1:6">
      <c r="A11" s="100" t="s">
        <v>969</v>
      </c>
      <c r="B11" s="114" t="s">
        <v>970</v>
      </c>
      <c r="C11" s="358">
        <v>360</v>
      </c>
      <c r="D11" s="49" t="s">
        <v>605</v>
      </c>
      <c r="E11" s="49" t="s">
        <v>946</v>
      </c>
    </row>
    <row r="12" spans="1:6">
      <c r="A12" s="100" t="s">
        <v>215</v>
      </c>
      <c r="B12" s="114" t="s">
        <v>261</v>
      </c>
      <c r="C12" s="358">
        <v>45.27</v>
      </c>
      <c r="D12" s="49" t="s">
        <v>19</v>
      </c>
    </row>
    <row r="13" spans="1:6">
      <c r="A13" s="100" t="s">
        <v>621</v>
      </c>
      <c r="B13" s="114" t="s">
        <v>261</v>
      </c>
      <c r="C13" s="358">
        <v>26.81</v>
      </c>
      <c r="D13" s="49" t="s">
        <v>19</v>
      </c>
      <c r="E13" s="49" t="s">
        <v>628</v>
      </c>
    </row>
    <row r="14" spans="1:6">
      <c r="A14" s="100" t="s">
        <v>762</v>
      </c>
      <c r="B14" s="114" t="s">
        <v>261</v>
      </c>
      <c r="C14" s="358">
        <v>28.21</v>
      </c>
      <c r="D14" s="49" t="s">
        <v>19</v>
      </c>
      <c r="E14" s="49" t="s">
        <v>515</v>
      </c>
    </row>
    <row r="15" spans="1:6">
      <c r="A15" s="100" t="s">
        <v>643</v>
      </c>
      <c r="B15" s="114" t="s">
        <v>444</v>
      </c>
      <c r="C15" s="358">
        <v>38.35</v>
      </c>
      <c r="D15" s="49" t="s">
        <v>19</v>
      </c>
      <c r="E15" s="49" t="s">
        <v>516</v>
      </c>
    </row>
    <row r="16" spans="1:6">
      <c r="A16" s="100" t="s">
        <v>514</v>
      </c>
      <c r="B16" s="114" t="s">
        <v>261</v>
      </c>
      <c r="C16" s="358">
        <v>57.07</v>
      </c>
      <c r="D16" s="49" t="s">
        <v>19</v>
      </c>
      <c r="E16" s="49" t="s">
        <v>517</v>
      </c>
    </row>
    <row r="17" spans="1:8">
      <c r="A17" s="100" t="s">
        <v>174</v>
      </c>
      <c r="B17" s="114" t="s">
        <v>175</v>
      </c>
      <c r="C17" s="358">
        <v>3.06</v>
      </c>
      <c r="D17" s="49" t="s">
        <v>2</v>
      </c>
    </row>
    <row r="18" spans="1:8">
      <c r="A18" s="100" t="s">
        <v>335</v>
      </c>
      <c r="B18" s="116" t="s">
        <v>9</v>
      </c>
      <c r="C18" s="358">
        <v>1.06</v>
      </c>
      <c r="D18" s="116" t="s">
        <v>64</v>
      </c>
    </row>
    <row r="19" spans="1:8">
      <c r="A19" s="100" t="s">
        <v>101</v>
      </c>
      <c r="B19" s="116" t="s">
        <v>11</v>
      </c>
      <c r="C19" s="358">
        <v>0.55000000000000004</v>
      </c>
      <c r="D19" s="116" t="s">
        <v>64</v>
      </c>
      <c r="F19" s="118"/>
    </row>
    <row r="20" spans="1:8">
      <c r="A20" s="49" t="s">
        <v>337</v>
      </c>
      <c r="B20" s="49" t="s">
        <v>253</v>
      </c>
      <c r="C20" s="358">
        <v>0.27</v>
      </c>
      <c r="D20" s="49" t="s">
        <v>64</v>
      </c>
      <c r="F20" s="118"/>
    </row>
    <row r="21" spans="1:8">
      <c r="A21" s="49" t="s">
        <v>876</v>
      </c>
      <c r="B21" s="49" t="s">
        <v>877</v>
      </c>
      <c r="C21" s="358">
        <v>2.7</v>
      </c>
      <c r="D21" s="49" t="s">
        <v>64</v>
      </c>
      <c r="F21" s="118"/>
    </row>
    <row r="22" spans="1:8">
      <c r="A22" s="5" t="s">
        <v>336</v>
      </c>
      <c r="B22" s="114" t="s">
        <v>252</v>
      </c>
      <c r="C22" s="358">
        <v>0.75</v>
      </c>
      <c r="D22" s="49" t="s">
        <v>64</v>
      </c>
      <c r="F22" s="5"/>
    </row>
    <row r="23" spans="1:8">
      <c r="A23" s="5" t="s">
        <v>878</v>
      </c>
      <c r="B23" s="114" t="s">
        <v>879</v>
      </c>
      <c r="C23" s="358">
        <v>5.0999999999999996</v>
      </c>
      <c r="D23" s="49" t="s">
        <v>64</v>
      </c>
      <c r="F23" s="5"/>
    </row>
    <row r="24" spans="1:8">
      <c r="A24" t="s">
        <v>99</v>
      </c>
      <c r="B24" s="116" t="s">
        <v>33</v>
      </c>
      <c r="C24" s="358">
        <v>1.1000000000000001</v>
      </c>
      <c r="D24" s="49" t="s">
        <v>64</v>
      </c>
      <c r="F24" s="5"/>
    </row>
    <row r="25" spans="1:8">
      <c r="A25" t="s">
        <v>206</v>
      </c>
      <c r="B25" s="116" t="s">
        <v>205</v>
      </c>
      <c r="C25" s="358">
        <v>0.16</v>
      </c>
      <c r="D25" s="49" t="s">
        <v>64</v>
      </c>
      <c r="F25" s="5"/>
    </row>
    <row r="26" spans="1:8">
      <c r="A26" t="s">
        <v>199</v>
      </c>
      <c r="B26" s="116" t="s">
        <v>263</v>
      </c>
      <c r="C26" s="358">
        <v>0.19</v>
      </c>
      <c r="D26" s="49" t="s">
        <v>64</v>
      </c>
      <c r="F26" s="5"/>
    </row>
    <row r="27" spans="1:8">
      <c r="A27" t="s">
        <v>673</v>
      </c>
      <c r="B27" s="116" t="s">
        <v>674</v>
      </c>
      <c r="C27" s="358">
        <v>0.3</v>
      </c>
      <c r="D27" s="49" t="s">
        <v>64</v>
      </c>
      <c r="F27" s="5"/>
    </row>
    <row r="28" spans="1:8">
      <c r="A28" s="100" t="s">
        <v>103</v>
      </c>
      <c r="B28" s="116" t="s">
        <v>13</v>
      </c>
      <c r="C28" s="358">
        <v>0.56999999999999995</v>
      </c>
      <c r="D28" s="116" t="s">
        <v>64</v>
      </c>
      <c r="E28" s="5"/>
      <c r="F28" s="5"/>
    </row>
    <row r="29" spans="1:8">
      <c r="A29" s="100" t="s">
        <v>102</v>
      </c>
      <c r="B29" s="116" t="s">
        <v>12</v>
      </c>
      <c r="C29" s="358">
        <v>0.45</v>
      </c>
      <c r="D29" s="116" t="s">
        <v>64</v>
      </c>
      <c r="E29" s="5"/>
      <c r="F29" s="5"/>
    </row>
    <row r="30" spans="1:8">
      <c r="A30" s="100" t="s">
        <v>340</v>
      </c>
      <c r="B30" s="116" t="s">
        <v>327</v>
      </c>
      <c r="C30" s="358">
        <v>1.9</v>
      </c>
      <c r="D30" s="116" t="s">
        <v>64</v>
      </c>
      <c r="F30"/>
      <c r="G30" s="116"/>
      <c r="H30" s="9"/>
    </row>
    <row r="31" spans="1:8">
      <c r="A31" s="100" t="s">
        <v>333</v>
      </c>
      <c r="B31" s="159" t="s">
        <v>599</v>
      </c>
      <c r="C31" s="358">
        <v>6.67</v>
      </c>
      <c r="D31" s="116" t="s">
        <v>2</v>
      </c>
      <c r="F31"/>
      <c r="H31"/>
    </row>
    <row r="32" spans="1:8">
      <c r="A32" s="100" t="s">
        <v>104</v>
      </c>
      <c r="B32" s="116" t="s">
        <v>16</v>
      </c>
      <c r="C32" s="358">
        <v>10.5</v>
      </c>
      <c r="D32" s="116" t="s">
        <v>2</v>
      </c>
      <c r="E32" s="5"/>
      <c r="F32" s="100"/>
      <c r="G32" s="5"/>
      <c r="H32" s="100"/>
    </row>
    <row r="33" spans="1:8">
      <c r="A33" t="s">
        <v>98</v>
      </c>
      <c r="B33" s="116" t="s">
        <v>32</v>
      </c>
      <c r="C33" s="358">
        <v>7.29</v>
      </c>
      <c r="D33" s="49" t="s">
        <v>2</v>
      </c>
      <c r="E33" s="100"/>
      <c r="F33" s="100"/>
      <c r="G33" s="100"/>
      <c r="H33" s="100"/>
    </row>
    <row r="34" spans="1:8">
      <c r="A34" s="49" t="s">
        <v>334</v>
      </c>
      <c r="B34" s="49" t="s">
        <v>254</v>
      </c>
      <c r="C34" s="358">
        <v>1.89</v>
      </c>
      <c r="D34" s="49" t="s">
        <v>2</v>
      </c>
      <c r="E34" s="100"/>
      <c r="F34" s="100"/>
      <c r="G34" s="100"/>
      <c r="H34" s="100"/>
    </row>
    <row r="35" spans="1:8">
      <c r="A35" s="49" t="s">
        <v>872</v>
      </c>
      <c r="B35" s="49" t="s">
        <v>873</v>
      </c>
      <c r="C35" s="358">
        <v>17.399999999999999</v>
      </c>
      <c r="D35" s="49" t="s">
        <v>2</v>
      </c>
      <c r="E35" s="100"/>
      <c r="F35" s="100"/>
      <c r="G35" s="100"/>
      <c r="H35" s="100"/>
    </row>
    <row r="36" spans="1:8">
      <c r="A36" s="49" t="s">
        <v>406</v>
      </c>
      <c r="B36" s="114" t="s">
        <v>255</v>
      </c>
      <c r="C36" s="358">
        <v>2.92</v>
      </c>
      <c r="D36" s="49" t="s">
        <v>2</v>
      </c>
      <c r="E36" s="100"/>
      <c r="F36" s="100"/>
      <c r="G36" s="100"/>
      <c r="H36" s="100"/>
    </row>
    <row r="37" spans="1:8">
      <c r="A37" s="49" t="s">
        <v>874</v>
      </c>
      <c r="B37" s="114" t="s">
        <v>875</v>
      </c>
      <c r="C37" s="358">
        <v>25.8</v>
      </c>
      <c r="D37" s="49" t="s">
        <v>2</v>
      </c>
      <c r="E37" s="100"/>
      <c r="F37" s="100"/>
      <c r="G37" s="100"/>
      <c r="H37" s="100"/>
    </row>
    <row r="38" spans="1:8">
      <c r="A38" t="s">
        <v>338</v>
      </c>
      <c r="B38" s="116" t="s">
        <v>30</v>
      </c>
      <c r="C38" s="358">
        <v>10.9</v>
      </c>
      <c r="D38" s="49" t="s">
        <v>2</v>
      </c>
      <c r="F38" s="100"/>
      <c r="H38" s="100"/>
    </row>
    <row r="39" spans="1:8">
      <c r="A39" t="s">
        <v>107</v>
      </c>
      <c r="B39" s="116" t="s">
        <v>31</v>
      </c>
      <c r="C39" s="358">
        <v>11.9</v>
      </c>
      <c r="D39" s="49" t="s">
        <v>2</v>
      </c>
      <c r="F39" s="100"/>
      <c r="H39" s="100"/>
    </row>
    <row r="40" spans="1:8">
      <c r="A40" s="100" t="s">
        <v>639</v>
      </c>
      <c r="B40" s="116" t="s">
        <v>8</v>
      </c>
      <c r="C40" s="358">
        <v>22.9</v>
      </c>
      <c r="D40" s="116" t="s">
        <v>2</v>
      </c>
      <c r="E40" s="49" t="s">
        <v>256</v>
      </c>
      <c r="F40" s="100" t="s">
        <v>945</v>
      </c>
      <c r="H40" s="100"/>
    </row>
    <row r="41" spans="1:8">
      <c r="A41" t="s">
        <v>702</v>
      </c>
      <c r="B41" s="116" t="s">
        <v>703</v>
      </c>
      <c r="C41" s="358">
        <v>24.39</v>
      </c>
      <c r="D41" s="49" t="s">
        <v>2</v>
      </c>
      <c r="E41" s="100"/>
      <c r="F41" s="100"/>
      <c r="G41" s="100"/>
      <c r="H41" s="100"/>
    </row>
    <row r="42" spans="1:8">
      <c r="A42" s="49" t="s">
        <v>149</v>
      </c>
      <c r="B42" s="49" t="s">
        <v>704</v>
      </c>
      <c r="C42" s="358">
        <v>17.2</v>
      </c>
      <c r="D42" s="49" t="s">
        <v>961</v>
      </c>
      <c r="E42" s="100"/>
      <c r="F42" s="100"/>
      <c r="G42" s="100"/>
      <c r="H42" s="100"/>
    </row>
    <row r="43" spans="1:8">
      <c r="A43" s="49" t="s">
        <v>185</v>
      </c>
      <c r="B43" s="49" t="s">
        <v>262</v>
      </c>
      <c r="C43" s="358">
        <v>5.79</v>
      </c>
      <c r="D43" s="49" t="s">
        <v>19</v>
      </c>
      <c r="E43" s="100" t="s">
        <v>720</v>
      </c>
      <c r="F43" s="100" t="s">
        <v>721</v>
      </c>
      <c r="G43" s="100"/>
      <c r="H43" s="100"/>
    </row>
    <row r="44" spans="1:8">
      <c r="A44" s="49" t="s">
        <v>341</v>
      </c>
      <c r="B44" s="114" t="s">
        <v>260</v>
      </c>
      <c r="C44" s="358">
        <v>8.06</v>
      </c>
      <c r="D44" s="114" t="s">
        <v>64</v>
      </c>
      <c r="E44" s="100"/>
      <c r="G44" s="100"/>
    </row>
    <row r="45" spans="1:8">
      <c r="A45" t="s">
        <v>105</v>
      </c>
      <c r="B45" s="116" t="s">
        <v>259</v>
      </c>
      <c r="C45" s="358">
        <v>7</v>
      </c>
      <c r="D45" s="116" t="s">
        <v>64</v>
      </c>
    </row>
    <row r="46" spans="1:8">
      <c r="A46" s="49" t="s">
        <v>601</v>
      </c>
      <c r="B46" s="116" t="s">
        <v>259</v>
      </c>
      <c r="C46" s="358">
        <v>4.9000000000000004</v>
      </c>
      <c r="D46" s="116" t="s">
        <v>64</v>
      </c>
    </row>
    <row r="47" spans="1:8">
      <c r="A47" s="100" t="s">
        <v>106</v>
      </c>
      <c r="B47" s="116" t="s">
        <v>258</v>
      </c>
      <c r="C47" s="358">
        <v>6.9</v>
      </c>
      <c r="D47" s="49" t="s">
        <v>64</v>
      </c>
    </row>
    <row r="48" spans="1:8">
      <c r="A48" s="49" t="s">
        <v>637</v>
      </c>
      <c r="B48" s="114" t="s">
        <v>200</v>
      </c>
      <c r="C48" s="358">
        <v>3.46</v>
      </c>
      <c r="D48" s="49" t="s">
        <v>64</v>
      </c>
    </row>
    <row r="49" spans="1:8">
      <c r="A49" s="49" t="s">
        <v>650</v>
      </c>
      <c r="B49" s="114" t="s">
        <v>651</v>
      </c>
      <c r="C49" s="358">
        <v>11.54</v>
      </c>
      <c r="D49" s="49" t="s">
        <v>19</v>
      </c>
    </row>
    <row r="50" spans="1:8">
      <c r="A50" s="49" t="s">
        <v>808</v>
      </c>
      <c r="B50" s="114" t="s">
        <v>809</v>
      </c>
      <c r="C50" s="358">
        <v>14.73</v>
      </c>
      <c r="D50" s="49" t="s">
        <v>19</v>
      </c>
    </row>
    <row r="51" spans="1:8">
      <c r="A51" s="49" t="s">
        <v>761</v>
      </c>
      <c r="B51" s="49" t="s">
        <v>510</v>
      </c>
      <c r="C51" s="358">
        <v>18.100000000000001</v>
      </c>
      <c r="D51" s="49" t="s">
        <v>19</v>
      </c>
    </row>
    <row r="52" spans="1:8">
      <c r="A52" s="49" t="s">
        <v>622</v>
      </c>
      <c r="B52" s="49" t="s">
        <v>532</v>
      </c>
      <c r="C52" s="358">
        <v>21.56</v>
      </c>
      <c r="D52" s="49" t="s">
        <v>19</v>
      </c>
      <c r="E52" s="49" t="s">
        <v>812</v>
      </c>
    </row>
    <row r="53" spans="1:8">
      <c r="A53" s="49" t="s">
        <v>813</v>
      </c>
      <c r="B53" s="49" t="s">
        <v>815</v>
      </c>
      <c r="C53" s="358">
        <v>20.13</v>
      </c>
      <c r="D53" s="49" t="s">
        <v>19</v>
      </c>
      <c r="E53" s="49" t="s">
        <v>814</v>
      </c>
    </row>
    <row r="54" spans="1:8">
      <c r="A54" s="49" t="s">
        <v>816</v>
      </c>
      <c r="B54" s="49" t="s">
        <v>817</v>
      </c>
      <c r="C54" s="358">
        <v>22.57</v>
      </c>
      <c r="D54" s="49" t="s">
        <v>19</v>
      </c>
      <c r="E54" s="49" t="s">
        <v>818</v>
      </c>
    </row>
    <row r="55" spans="1:8">
      <c r="A55" s="49" t="s">
        <v>819</v>
      </c>
      <c r="B55" s="49" t="s">
        <v>820</v>
      </c>
      <c r="C55" s="358">
        <v>28.01</v>
      </c>
      <c r="D55" s="49" t="s">
        <v>19</v>
      </c>
      <c r="E55" s="49" t="s">
        <v>812</v>
      </c>
    </row>
    <row r="56" spans="1:8">
      <c r="A56" s="49" t="s">
        <v>753</v>
      </c>
      <c r="B56" s="49" t="s">
        <v>811</v>
      </c>
      <c r="C56" s="358">
        <v>32.299999999999997</v>
      </c>
      <c r="D56" s="49" t="s">
        <v>19</v>
      </c>
      <c r="E56" s="100" t="s">
        <v>810</v>
      </c>
      <c r="F56" s="100"/>
      <c r="G56" s="100"/>
      <c r="H56" s="100"/>
    </row>
    <row r="57" spans="1:8">
      <c r="A57" s="49" t="s">
        <v>966</v>
      </c>
      <c r="B57" s="49" t="s">
        <v>447</v>
      </c>
      <c r="C57" s="358">
        <v>15.91</v>
      </c>
      <c r="D57" s="49" t="s">
        <v>17</v>
      </c>
      <c r="E57" s="49" t="s">
        <v>965</v>
      </c>
    </row>
    <row r="58" spans="1:8">
      <c r="A58" s="49" t="s">
        <v>617</v>
      </c>
      <c r="B58" s="49" t="s">
        <v>618</v>
      </c>
      <c r="C58" s="358">
        <v>17.899999999999999</v>
      </c>
      <c r="D58" s="49" t="s">
        <v>17</v>
      </c>
      <c r="E58" s="49" t="s">
        <v>764</v>
      </c>
    </row>
    <row r="59" spans="1:8">
      <c r="A59" s="49" t="s">
        <v>911</v>
      </c>
      <c r="B59" s="49" t="s">
        <v>913</v>
      </c>
      <c r="C59" s="358">
        <v>0.09</v>
      </c>
      <c r="D59" s="49" t="s">
        <v>64</v>
      </c>
    </row>
    <row r="60" spans="1:8">
      <c r="A60" s="49" t="s">
        <v>948</v>
      </c>
      <c r="B60" s="49" t="s">
        <v>460</v>
      </c>
      <c r="C60" s="358">
        <v>57.17</v>
      </c>
      <c r="D60" s="49" t="s">
        <v>19</v>
      </c>
    </row>
    <row r="61" spans="1:8">
      <c r="A61" s="49" t="s">
        <v>457</v>
      </c>
      <c r="B61" s="49" t="s">
        <v>461</v>
      </c>
      <c r="C61" s="358">
        <v>42.64</v>
      </c>
      <c r="D61" s="49" t="s">
        <v>19</v>
      </c>
      <c r="E61" s="357" t="s">
        <v>640</v>
      </c>
    </row>
    <row r="62" spans="1:8">
      <c r="A62" s="49" t="s">
        <v>453</v>
      </c>
      <c r="B62" s="49" t="s">
        <v>462</v>
      </c>
      <c r="C62" s="358">
        <v>45.8</v>
      </c>
      <c r="D62" s="49" t="s">
        <v>19</v>
      </c>
    </row>
    <row r="63" spans="1:8">
      <c r="A63" s="49" t="s">
        <v>554</v>
      </c>
      <c r="B63" s="49" t="s">
        <v>425</v>
      </c>
      <c r="C63" s="359">
        <v>38.1</v>
      </c>
      <c r="D63" s="116" t="s">
        <v>424</v>
      </c>
      <c r="E63" s="49" t="s">
        <v>494</v>
      </c>
    </row>
    <row r="64" spans="1:8">
      <c r="A64" s="100" t="s">
        <v>451</v>
      </c>
      <c r="B64" s="116" t="s">
        <v>545</v>
      </c>
      <c r="C64" s="358">
        <v>28.5</v>
      </c>
      <c r="D64" s="49" t="s">
        <v>19</v>
      </c>
    </row>
    <row r="65" spans="1:9">
      <c r="A65" s="100" t="s">
        <v>652</v>
      </c>
      <c r="B65" s="116" t="s">
        <v>653</v>
      </c>
      <c r="C65" s="358">
        <v>28.5</v>
      </c>
      <c r="D65" s="49" t="s">
        <v>19</v>
      </c>
    </row>
    <row r="66" spans="1:9">
      <c r="A66" s="100" t="s">
        <v>544</v>
      </c>
      <c r="B66" s="116" t="s">
        <v>546</v>
      </c>
      <c r="C66" s="358">
        <v>29</v>
      </c>
      <c r="D66" s="49" t="s">
        <v>19</v>
      </c>
    </row>
    <row r="67" spans="1:9">
      <c r="A67" s="49" t="s">
        <v>947</v>
      </c>
      <c r="B67" s="49" t="s">
        <v>452</v>
      </c>
      <c r="C67" s="358">
        <v>100</v>
      </c>
      <c r="D67" s="49" t="s">
        <v>64</v>
      </c>
      <c r="E67" s="49" t="s">
        <v>946</v>
      </c>
    </row>
    <row r="68" spans="1:9">
      <c r="A68" s="49" t="s">
        <v>490</v>
      </c>
      <c r="B68" s="49" t="s">
        <v>491</v>
      </c>
      <c r="C68" s="358">
        <v>33.9</v>
      </c>
      <c r="D68" s="49" t="s">
        <v>64</v>
      </c>
    </row>
    <row r="69" spans="1:9">
      <c r="A69" s="49" t="s">
        <v>591</v>
      </c>
      <c r="B69" s="49" t="s">
        <v>491</v>
      </c>
      <c r="C69" s="358">
        <v>38.78</v>
      </c>
      <c r="D69" s="49" t="s">
        <v>64</v>
      </c>
      <c r="E69" s="49" t="s">
        <v>492</v>
      </c>
    </row>
    <row r="70" spans="1:9">
      <c r="A70" s="49" t="s">
        <v>623</v>
      </c>
      <c r="B70" s="49" t="s">
        <v>701</v>
      </c>
      <c r="C70" s="358">
        <v>1.92</v>
      </c>
      <c r="D70" s="49" t="s">
        <v>19</v>
      </c>
    </row>
    <row r="71" spans="1:9">
      <c r="A71" s="49" t="s">
        <v>555</v>
      </c>
      <c r="B71" s="49" t="s">
        <v>556</v>
      </c>
      <c r="C71" s="358">
        <v>14.9</v>
      </c>
      <c r="D71" s="49" t="s">
        <v>64</v>
      </c>
    </row>
    <row r="72" spans="1:9">
      <c r="A72" s="49" t="s">
        <v>566</v>
      </c>
      <c r="B72" s="49" t="s">
        <v>571</v>
      </c>
      <c r="C72" s="358">
        <v>8.5</v>
      </c>
      <c r="D72" s="49" t="s">
        <v>17</v>
      </c>
    </row>
    <row r="73" spans="1:9">
      <c r="A73" s="49" t="s">
        <v>567</v>
      </c>
      <c r="B73" s="49" t="s">
        <v>572</v>
      </c>
      <c r="C73" s="358">
        <v>0.25</v>
      </c>
      <c r="D73" s="49" t="s">
        <v>64</v>
      </c>
    </row>
    <row r="74" spans="1:9">
      <c r="A74" s="49" t="s">
        <v>568</v>
      </c>
      <c r="B74" s="49" t="s">
        <v>576</v>
      </c>
      <c r="C74" s="358">
        <v>9</v>
      </c>
      <c r="D74" s="49" t="s">
        <v>17</v>
      </c>
    </row>
    <row r="75" spans="1:9">
      <c r="A75" s="49" t="s">
        <v>569</v>
      </c>
      <c r="B75" s="49" t="s">
        <v>578</v>
      </c>
      <c r="C75" s="358">
        <v>9.9</v>
      </c>
      <c r="D75" s="49" t="s">
        <v>17</v>
      </c>
    </row>
    <row r="76" spans="1:9">
      <c r="A76" s="49" t="s">
        <v>570</v>
      </c>
      <c r="B76" s="49" t="s">
        <v>579</v>
      </c>
      <c r="C76" s="358">
        <v>1.41</v>
      </c>
      <c r="D76" s="49" t="s">
        <v>64</v>
      </c>
    </row>
    <row r="77" spans="1:9">
      <c r="A77" s="49" t="s">
        <v>629</v>
      </c>
      <c r="B77" s="49" t="s">
        <v>630</v>
      </c>
      <c r="C77" s="358">
        <v>0.6</v>
      </c>
      <c r="D77" s="49" t="s">
        <v>64</v>
      </c>
    </row>
    <row r="78" spans="1:9">
      <c r="A78" s="49" t="s">
        <v>675</v>
      </c>
      <c r="B78" s="49" t="s">
        <v>676</v>
      </c>
      <c r="C78" s="358">
        <v>9.1</v>
      </c>
      <c r="D78" s="49" t="s">
        <v>64</v>
      </c>
    </row>
    <row r="79" spans="1:9">
      <c r="A79" s="372" t="s">
        <v>689</v>
      </c>
      <c r="B79" s="372" t="s">
        <v>688</v>
      </c>
      <c r="C79" s="383">
        <v>2.1</v>
      </c>
      <c r="D79" s="49" t="s">
        <v>450</v>
      </c>
      <c r="E79" s="49" t="s">
        <v>766</v>
      </c>
    </row>
    <row r="80" spans="1:9">
      <c r="A80" s="407" t="s">
        <v>768</v>
      </c>
      <c r="B80" s="408" t="s">
        <v>769</v>
      </c>
      <c r="C80" s="195">
        <v>52.9</v>
      </c>
      <c r="D80" s="49" t="s">
        <v>19</v>
      </c>
      <c r="H80" s="407" t="s">
        <v>887</v>
      </c>
      <c r="I80" s="408" t="s">
        <v>888</v>
      </c>
    </row>
    <row r="81" spans="1:9">
      <c r="A81" s="409" t="s">
        <v>770</v>
      </c>
      <c r="B81" s="410" t="s">
        <v>775</v>
      </c>
      <c r="C81" s="195">
        <v>64.5</v>
      </c>
      <c r="D81" s="49" t="s">
        <v>19</v>
      </c>
      <c r="H81" s="444">
        <v>100</v>
      </c>
      <c r="I81" s="445">
        <v>14.4</v>
      </c>
    </row>
    <row r="82" spans="1:9">
      <c r="A82" s="409" t="s">
        <v>771</v>
      </c>
      <c r="B82" s="410" t="s">
        <v>774</v>
      </c>
      <c r="C82" s="195">
        <v>75</v>
      </c>
      <c r="D82" s="49" t="s">
        <v>19</v>
      </c>
      <c r="H82" s="444">
        <v>125</v>
      </c>
      <c r="I82" s="445">
        <v>15.6</v>
      </c>
    </row>
    <row r="83" spans="1:9">
      <c r="A83" s="411" t="s">
        <v>772</v>
      </c>
      <c r="B83" s="412" t="s">
        <v>773</v>
      </c>
      <c r="C83" s="195">
        <v>90</v>
      </c>
      <c r="D83" s="49" t="s">
        <v>19</v>
      </c>
      <c r="H83" s="444">
        <v>160</v>
      </c>
      <c r="I83" s="445">
        <v>16.8</v>
      </c>
    </row>
    <row r="84" spans="1:9">
      <c r="A84" s="407" t="s">
        <v>919</v>
      </c>
      <c r="B84" s="408" t="s">
        <v>920</v>
      </c>
      <c r="C84" s="195">
        <v>310</v>
      </c>
      <c r="D84" s="49" t="s">
        <v>19</v>
      </c>
      <c r="H84" s="444">
        <v>200</v>
      </c>
      <c r="I84" s="445">
        <v>19.2</v>
      </c>
    </row>
    <row r="85" spans="1:9">
      <c r="A85" s="49" t="s">
        <v>921</v>
      </c>
      <c r="B85" s="410" t="s">
        <v>922</v>
      </c>
      <c r="C85" s="195">
        <v>375</v>
      </c>
      <c r="H85" s="444">
        <v>250</v>
      </c>
      <c r="I85" s="445">
        <v>22.8</v>
      </c>
    </row>
    <row r="86" spans="1:9">
      <c r="A86" s="535" t="s">
        <v>928</v>
      </c>
      <c r="B86" s="412" t="s">
        <v>923</v>
      </c>
      <c r="C86" s="195">
        <v>440</v>
      </c>
      <c r="D86" s="49" t="s">
        <v>19</v>
      </c>
      <c r="H86" s="444">
        <v>315</v>
      </c>
      <c r="I86" s="445">
        <v>27.6</v>
      </c>
    </row>
    <row r="87" spans="1:9" ht="15.6">
      <c r="A87" s="539" t="s">
        <v>931</v>
      </c>
      <c r="B87" s="540" t="s">
        <v>932</v>
      </c>
      <c r="C87" s="538">
        <v>2</v>
      </c>
      <c r="D87" s="537" t="s">
        <v>19</v>
      </c>
      <c r="H87" s="446">
        <v>355</v>
      </c>
      <c r="I87" s="447">
        <v>42</v>
      </c>
    </row>
    <row r="88" spans="1:9" ht="15.6">
      <c r="A88" s="541" t="s">
        <v>933</v>
      </c>
      <c r="B88" s="542" t="s">
        <v>934</v>
      </c>
      <c r="C88" s="538">
        <v>4</v>
      </c>
      <c r="D88" s="537" t="s">
        <v>19</v>
      </c>
      <c r="H88" s="443"/>
    </row>
    <row r="89" spans="1:9" ht="15.6">
      <c r="A89" s="543" t="s">
        <v>935</v>
      </c>
      <c r="B89" s="544" t="s">
        <v>936</v>
      </c>
      <c r="C89" s="538">
        <v>12</v>
      </c>
      <c r="D89" s="537" t="s">
        <v>19</v>
      </c>
    </row>
    <row r="90" spans="1:9">
      <c r="A90" s="407" t="s">
        <v>783</v>
      </c>
      <c r="B90" s="408" t="s">
        <v>930</v>
      </c>
      <c r="C90" s="195">
        <v>70</v>
      </c>
      <c r="D90" s="49" t="s">
        <v>19</v>
      </c>
      <c r="E90" s="49" t="s">
        <v>784</v>
      </c>
    </row>
    <row r="91" spans="1:9">
      <c r="A91" s="411" t="s">
        <v>918</v>
      </c>
      <c r="B91" s="412" t="s">
        <v>929</v>
      </c>
      <c r="C91" s="195">
        <v>75</v>
      </c>
      <c r="D91" s="49" t="s">
        <v>19</v>
      </c>
      <c r="E91" s="49" t="s">
        <v>784</v>
      </c>
    </row>
    <row r="92" spans="1:9">
      <c r="C92" s="49"/>
    </row>
    <row r="93" spans="1:9">
      <c r="A93" s="52" t="s">
        <v>407</v>
      </c>
      <c r="B93" s="52" t="s">
        <v>408</v>
      </c>
      <c r="C93" s="242">
        <v>42</v>
      </c>
      <c r="D93" s="243" t="s">
        <v>409</v>
      </c>
    </row>
    <row r="94" spans="1:9">
      <c r="A94" s="52" t="s">
        <v>407</v>
      </c>
      <c r="B94" s="52" t="s">
        <v>410</v>
      </c>
      <c r="C94" s="242">
        <f>C93/60</f>
        <v>0.7</v>
      </c>
      <c r="D94" s="52" t="s">
        <v>409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U36"/>
  <sheetViews>
    <sheetView topLeftCell="B43" workbookViewId="0">
      <selection activeCell="K4" sqref="K4"/>
    </sheetView>
  </sheetViews>
  <sheetFormatPr defaultRowHeight="14.4"/>
  <cols>
    <col min="1" max="1" width="25.33203125" customWidth="1"/>
    <col min="2" max="2" width="25.44140625" customWidth="1"/>
    <col min="3" max="3" width="6.44140625" customWidth="1"/>
    <col min="4" max="4" width="16.33203125" customWidth="1"/>
    <col min="5" max="5" width="16.88671875" customWidth="1"/>
    <col min="10" max="10" width="28.88671875" customWidth="1"/>
    <col min="11" max="11" width="26.6640625" customWidth="1"/>
    <col min="13" max="13" width="9.88671875" customWidth="1"/>
    <col min="14" max="14" width="18.33203125" customWidth="1"/>
    <col min="15" max="15" width="10" customWidth="1"/>
  </cols>
  <sheetData>
    <row r="4" spans="2:19">
      <c r="B4" s="54" t="s">
        <v>590</v>
      </c>
      <c r="K4" s="54" t="s">
        <v>777</v>
      </c>
      <c r="Q4" s="54"/>
    </row>
    <row r="5" spans="2:19">
      <c r="B5" s="92" t="s">
        <v>110</v>
      </c>
      <c r="D5">
        <f>'Cennik Produkcja '!D354</f>
        <v>680</v>
      </c>
      <c r="K5" s="92" t="s">
        <v>110</v>
      </c>
      <c r="M5">
        <f>'Cennik Produkcja '!D424</f>
        <v>200</v>
      </c>
      <c r="Q5" s="92"/>
    </row>
    <row r="6" spans="2:19">
      <c r="B6" s="92" t="s">
        <v>111</v>
      </c>
      <c r="D6">
        <f>'Cennik Produkcja '!E354</f>
        <v>680</v>
      </c>
      <c r="K6" s="92" t="s">
        <v>111</v>
      </c>
      <c r="M6">
        <f>'Cennik Produkcja '!E424</f>
        <v>200</v>
      </c>
      <c r="Q6" s="92"/>
    </row>
    <row r="7" spans="2:19">
      <c r="B7" s="92" t="s">
        <v>89</v>
      </c>
      <c r="D7">
        <f>'Cennik Produkcja '!D356</f>
        <v>100</v>
      </c>
      <c r="K7" s="92" t="s">
        <v>89</v>
      </c>
      <c r="M7">
        <f>'Cennik Produkcja '!D426</f>
        <v>1500</v>
      </c>
      <c r="Q7" s="92"/>
    </row>
    <row r="8" spans="2:19">
      <c r="B8" s="92"/>
      <c r="K8" s="92"/>
      <c r="Q8" s="92"/>
    </row>
    <row r="9" spans="2:19">
      <c r="B9" s="92"/>
      <c r="K9" s="92"/>
      <c r="Q9" s="92"/>
    </row>
    <row r="10" spans="2:19">
      <c r="B10" s="92" t="s">
        <v>309</v>
      </c>
      <c r="D10" s="86">
        <f>((D5+D5+D6+D6)*D7)/1000000</f>
        <v>0.27200000000000002</v>
      </c>
      <c r="E10" t="s">
        <v>19</v>
      </c>
      <c r="G10">
        <f>IF(OR(F6&gt;1000,F7&gt;1000),4,0.0001)</f>
        <v>1E-4</v>
      </c>
      <c r="K10" s="92" t="s">
        <v>309</v>
      </c>
      <c r="M10" s="86">
        <f t="shared" ref="M10" si="0">((M5+M5+M6+M6)*M7)/1000000</f>
        <v>1.2</v>
      </c>
      <c r="N10" t="s">
        <v>19</v>
      </c>
      <c r="O10" s="415">
        <f>'Cennik Produkcja '!F424</f>
        <v>1.2</v>
      </c>
      <c r="P10" s="309" t="s">
        <v>19</v>
      </c>
      <c r="Q10" s="92"/>
      <c r="S10" s="86"/>
    </row>
    <row r="11" spans="2:19">
      <c r="B11" s="92" t="s">
        <v>310</v>
      </c>
      <c r="D11" s="86">
        <f>D5*D6/1000000</f>
        <v>0.46239999999999998</v>
      </c>
      <c r="E11" t="s">
        <v>19</v>
      </c>
      <c r="K11" s="92" t="s">
        <v>69</v>
      </c>
      <c r="M11" s="86">
        <f>(M5+M5+M6+M6)/1000</f>
        <v>0.8</v>
      </c>
      <c r="N11" t="s">
        <v>2</v>
      </c>
      <c r="Q11" s="92"/>
      <c r="S11" s="86"/>
    </row>
    <row r="12" spans="2:19">
      <c r="B12" s="92" t="s">
        <v>69</v>
      </c>
      <c r="D12" s="86">
        <f>(D5+D5+D6+D6)/1000</f>
        <v>2.72</v>
      </c>
      <c r="E12" t="s">
        <v>2</v>
      </c>
      <c r="K12" s="92" t="s">
        <v>66</v>
      </c>
      <c r="M12" s="86">
        <f t="shared" ref="M12" si="1">M11</f>
        <v>0.8</v>
      </c>
      <c r="N12" t="s">
        <v>2</v>
      </c>
      <c r="Q12" s="92"/>
      <c r="S12" s="86"/>
    </row>
    <row r="13" spans="2:19">
      <c r="B13" s="92" t="s">
        <v>66</v>
      </c>
      <c r="D13" s="86">
        <f>D12</f>
        <v>2.72</v>
      </c>
      <c r="E13" t="s">
        <v>2</v>
      </c>
      <c r="K13" s="92"/>
      <c r="Q13" s="92"/>
      <c r="S13" s="86"/>
    </row>
    <row r="14" spans="2:19">
      <c r="B14" s="92"/>
      <c r="K14" s="92" t="s">
        <v>127</v>
      </c>
      <c r="M14" s="86">
        <f>M10*4.8</f>
        <v>5.76</v>
      </c>
      <c r="N14" t="s">
        <v>17</v>
      </c>
      <c r="Q14" s="92"/>
    </row>
    <row r="15" spans="2:19">
      <c r="B15" s="92" t="s">
        <v>127</v>
      </c>
      <c r="D15" s="86">
        <f>D10*4.8</f>
        <v>1.3056000000000001</v>
      </c>
      <c r="E15" t="s">
        <v>17</v>
      </c>
      <c r="K15" s="92" t="s">
        <v>257</v>
      </c>
      <c r="M15" s="86">
        <f>M10*6.4</f>
        <v>7.68</v>
      </c>
      <c r="N15" t="s">
        <v>17</v>
      </c>
      <c r="Q15" s="92"/>
      <c r="S15" s="86"/>
    </row>
    <row r="16" spans="2:19">
      <c r="B16" s="92" t="s">
        <v>257</v>
      </c>
      <c r="D16" s="86">
        <f>D10*6.4</f>
        <v>1.7408000000000001</v>
      </c>
      <c r="E16" t="s">
        <v>17</v>
      </c>
      <c r="K16" s="92" t="s">
        <v>631</v>
      </c>
      <c r="M16" s="86">
        <f>M10*7.2</f>
        <v>8.64</v>
      </c>
      <c r="N16" t="s">
        <v>17</v>
      </c>
      <c r="Q16" s="92"/>
      <c r="S16" s="86"/>
    </row>
    <row r="17" spans="1:21">
      <c r="B17" s="92" t="s">
        <v>631</v>
      </c>
      <c r="D17" s="86">
        <f>D10*7.2</f>
        <v>1.9584000000000001</v>
      </c>
      <c r="E17" t="s">
        <v>17</v>
      </c>
      <c r="K17" s="92"/>
      <c r="M17" s="86"/>
      <c r="Q17" s="92"/>
      <c r="S17" s="86"/>
    </row>
    <row r="20" spans="1:21">
      <c r="A20" s="54" t="s">
        <v>100</v>
      </c>
      <c r="B20" s="13" t="s">
        <v>4</v>
      </c>
      <c r="C20" s="73" t="s">
        <v>5</v>
      </c>
      <c r="D20" s="73"/>
      <c r="E20" s="73" t="s">
        <v>311</v>
      </c>
      <c r="F20" s="73" t="s">
        <v>312</v>
      </c>
      <c r="J20" s="54" t="s">
        <v>100</v>
      </c>
      <c r="K20" s="13" t="s">
        <v>4</v>
      </c>
      <c r="L20" s="73" t="s">
        <v>5</v>
      </c>
      <c r="M20" s="73"/>
      <c r="N20" s="73" t="s">
        <v>311</v>
      </c>
      <c r="O20" s="73" t="s">
        <v>312</v>
      </c>
      <c r="P20" s="54"/>
      <c r="Q20" s="13"/>
      <c r="R20" s="73"/>
      <c r="S20" s="73"/>
      <c r="T20" s="73"/>
      <c r="U20" s="73"/>
    </row>
    <row r="21" spans="1:21">
      <c r="A21" s="49" t="s">
        <v>176</v>
      </c>
      <c r="B21" t="s">
        <v>471</v>
      </c>
      <c r="C21" s="86">
        <f>IF(D5&lt;=1000,D15,0.0001)</f>
        <v>1.3056000000000001</v>
      </c>
      <c r="D21" t="s">
        <v>17</v>
      </c>
      <c r="E21" s="198">
        <f>'Ceny składowe'!C6</f>
        <v>4.3</v>
      </c>
      <c r="F21" s="198">
        <f>C21*E21</f>
        <v>5.6140800000000004</v>
      </c>
      <c r="J21" s="49" t="s">
        <v>176</v>
      </c>
      <c r="K21" t="s">
        <v>471</v>
      </c>
      <c r="L21" s="86">
        <f>IF(M5&lt;=1000,M14,0.0001)</f>
        <v>5.76</v>
      </c>
      <c r="M21" t="s">
        <v>17</v>
      </c>
      <c r="N21" s="198">
        <f>'Ceny składowe'!C6</f>
        <v>4.3</v>
      </c>
      <c r="O21" s="198">
        <f t="shared" ref="O21:O27" si="2">L21*N21</f>
        <v>24.767999999999997</v>
      </c>
      <c r="P21" s="49"/>
      <c r="R21" s="86"/>
      <c r="T21" s="198"/>
      <c r="U21" s="198"/>
    </row>
    <row r="22" spans="1:21">
      <c r="A22" s="49" t="s">
        <v>246</v>
      </c>
      <c r="B22" t="s">
        <v>472</v>
      </c>
      <c r="C22" s="86">
        <f>IF(AND(D5&gt;1000,D5&lt;=1400),D16,0.0001)</f>
        <v>1E-4</v>
      </c>
      <c r="D22" t="s">
        <v>17</v>
      </c>
      <c r="E22" s="198">
        <f>'Ceny składowe'!C7</f>
        <v>4.2</v>
      </c>
      <c r="F22" s="198">
        <f>C22*E22</f>
        <v>4.2000000000000002E-4</v>
      </c>
      <c r="J22" s="49" t="s">
        <v>246</v>
      </c>
      <c r="K22" t="s">
        <v>472</v>
      </c>
      <c r="L22" s="86">
        <f>IF(AND(M5&gt;1000,M5&lt;=1400),M15,0.0001)</f>
        <v>1E-4</v>
      </c>
      <c r="M22" t="s">
        <v>17</v>
      </c>
      <c r="N22" s="198">
        <f>'Ceny składowe'!C7</f>
        <v>4.2</v>
      </c>
      <c r="O22" s="198">
        <f t="shared" si="2"/>
        <v>4.2000000000000002E-4</v>
      </c>
      <c r="P22" s="49"/>
      <c r="R22" s="86"/>
      <c r="T22" s="198"/>
      <c r="U22" s="198"/>
    </row>
    <row r="23" spans="1:21">
      <c r="A23" s="49" t="s">
        <v>633</v>
      </c>
      <c r="B23" t="s">
        <v>632</v>
      </c>
      <c r="C23" s="86">
        <f>IF(D5&gt;1400,D17,0.0001)</f>
        <v>1E-4</v>
      </c>
      <c r="D23" t="s">
        <v>17</v>
      </c>
      <c r="E23" s="198">
        <f>'Ceny składowe'!C8</f>
        <v>4.2</v>
      </c>
      <c r="F23" s="198">
        <f>C23*E23</f>
        <v>4.2000000000000002E-4</v>
      </c>
      <c r="J23" s="49" t="s">
        <v>633</v>
      </c>
      <c r="K23" t="s">
        <v>632</v>
      </c>
      <c r="L23" s="86">
        <f>IF(M5&gt;1400,M16,0.0001)</f>
        <v>1E-4</v>
      </c>
      <c r="M23" t="s">
        <v>17</v>
      </c>
      <c r="N23" s="198">
        <f>'Ceny składowe'!C8</f>
        <v>4.2</v>
      </c>
      <c r="O23" s="198">
        <f t="shared" si="2"/>
        <v>4.2000000000000002E-4</v>
      </c>
      <c r="P23" s="49"/>
      <c r="R23" s="86"/>
      <c r="T23" s="198"/>
      <c r="U23" s="198"/>
    </row>
    <row r="24" spans="1:21">
      <c r="A24" s="49" t="s">
        <v>149</v>
      </c>
      <c r="B24" t="s">
        <v>509</v>
      </c>
      <c r="C24" s="86">
        <f>D11</f>
        <v>0.46239999999999998</v>
      </c>
      <c r="D24" t="s">
        <v>19</v>
      </c>
      <c r="E24" s="198">
        <f>'Ceny składowe'!C42</f>
        <v>17.2</v>
      </c>
      <c r="F24" s="198">
        <f t="shared" ref="F24:F28" si="3">C24*E24</f>
        <v>7.9532799999999995</v>
      </c>
      <c r="J24" s="49" t="s">
        <v>334</v>
      </c>
      <c r="K24" t="s">
        <v>505</v>
      </c>
      <c r="L24" s="86">
        <f>IF(OR(M5&gt;1000,M6&gt;1000),0.0001,M11)</f>
        <v>0.8</v>
      </c>
      <c r="M24" t="s">
        <v>2</v>
      </c>
      <c r="N24" s="198">
        <f>'Ceny składowe'!C34</f>
        <v>1.89</v>
      </c>
      <c r="O24" s="198">
        <f t="shared" si="2"/>
        <v>1.512</v>
      </c>
      <c r="P24" s="49"/>
      <c r="R24" s="86"/>
      <c r="T24" s="198"/>
      <c r="U24" s="198"/>
    </row>
    <row r="25" spans="1:21">
      <c r="A25" s="49" t="s">
        <v>334</v>
      </c>
      <c r="B25" t="s">
        <v>505</v>
      </c>
      <c r="C25" s="86">
        <f>IF(OR(D5&gt;1000,D6&gt;1000),0.0001,D12)</f>
        <v>2.72</v>
      </c>
      <c r="D25" t="s">
        <v>2</v>
      </c>
      <c r="E25" s="198">
        <f>'Ceny składowe'!C34</f>
        <v>1.89</v>
      </c>
      <c r="F25" s="198">
        <f t="shared" si="3"/>
        <v>5.1408000000000005</v>
      </c>
      <c r="J25" s="49" t="s">
        <v>406</v>
      </c>
      <c r="K25" t="s">
        <v>506</v>
      </c>
      <c r="L25" s="86">
        <f>IF(OR(M5&gt;1000,M6&gt;1000),M12,0.0001)</f>
        <v>1E-4</v>
      </c>
      <c r="M25" t="s">
        <v>2</v>
      </c>
      <c r="N25" s="198">
        <f>'Ceny składowe'!C36</f>
        <v>2.92</v>
      </c>
      <c r="O25" s="198">
        <f t="shared" si="2"/>
        <v>2.92E-4</v>
      </c>
      <c r="P25" s="49"/>
      <c r="R25" s="86"/>
      <c r="T25" s="198"/>
      <c r="U25" s="198"/>
    </row>
    <row r="26" spans="1:21">
      <c r="A26" s="49" t="s">
        <v>406</v>
      </c>
      <c r="B26" t="s">
        <v>506</v>
      </c>
      <c r="C26" s="86">
        <f>IF(OR(D5&gt;1000,D6&gt;1000),D13,0.0001)</f>
        <v>1E-4</v>
      </c>
      <c r="D26" t="s">
        <v>2</v>
      </c>
      <c r="E26" s="198">
        <f>'Ceny składowe'!C36</f>
        <v>2.92</v>
      </c>
      <c r="F26" s="198">
        <f t="shared" si="3"/>
        <v>2.92E-4</v>
      </c>
      <c r="J26" s="49" t="s">
        <v>337</v>
      </c>
      <c r="K26" t="s">
        <v>507</v>
      </c>
      <c r="L26" s="86">
        <f>IF(OR(M5&gt;1000,M6&gt;1000),0.0001,4)</f>
        <v>4</v>
      </c>
      <c r="M26" s="49" t="s">
        <v>64</v>
      </c>
      <c r="N26" s="198">
        <f>'Ceny składowe'!C20</f>
        <v>0.27</v>
      </c>
      <c r="O26" s="198">
        <f t="shared" si="2"/>
        <v>1.08</v>
      </c>
      <c r="P26" s="49"/>
      <c r="R26" s="86"/>
      <c r="T26" s="198"/>
      <c r="U26" s="198"/>
    </row>
    <row r="27" spans="1:21">
      <c r="A27" s="49" t="s">
        <v>337</v>
      </c>
      <c r="B27" t="s">
        <v>507</v>
      </c>
      <c r="C27" s="86">
        <f>IF(OR(D5&gt;1000,D6&gt;1000),0.0001,4)</f>
        <v>4</v>
      </c>
      <c r="D27" s="49" t="s">
        <v>64</v>
      </c>
      <c r="E27" s="198">
        <f>'Ceny składowe'!C20</f>
        <v>0.27</v>
      </c>
      <c r="F27" s="198">
        <f t="shared" si="3"/>
        <v>1.08</v>
      </c>
      <c r="J27" s="5" t="s">
        <v>336</v>
      </c>
      <c r="K27" t="s">
        <v>508</v>
      </c>
      <c r="L27" s="86">
        <f>IF(OR(M5&gt;1000,M6&gt;1000),4,0.0001)</f>
        <v>1E-4</v>
      </c>
      <c r="M27" s="49" t="s">
        <v>64</v>
      </c>
      <c r="N27" s="198">
        <f>'Ceny składowe'!C22</f>
        <v>0.75</v>
      </c>
      <c r="O27" s="198">
        <f t="shared" si="2"/>
        <v>7.5000000000000007E-5</v>
      </c>
      <c r="P27" s="49"/>
      <c r="R27" s="86"/>
      <c r="S27" s="49"/>
      <c r="T27" s="198"/>
      <c r="U27" s="198"/>
    </row>
    <row r="28" spans="1:21">
      <c r="A28" s="5" t="s">
        <v>336</v>
      </c>
      <c r="B28" t="s">
        <v>508</v>
      </c>
      <c r="C28" s="86">
        <f>IF(OR(D5&gt;1000,D6&gt;1000),4,0.0001)</f>
        <v>1E-4</v>
      </c>
      <c r="D28" s="49" t="s">
        <v>64</v>
      </c>
      <c r="E28" s="198">
        <f>'Ceny składowe'!C22</f>
        <v>0.75</v>
      </c>
      <c r="F28" s="198">
        <f t="shared" si="3"/>
        <v>7.5000000000000007E-5</v>
      </c>
      <c r="J28" s="49"/>
      <c r="N28" s="2"/>
      <c r="O28" s="2"/>
      <c r="P28" s="5"/>
      <c r="R28" s="86"/>
      <c r="S28" s="49"/>
      <c r="T28" s="198"/>
      <c r="U28" s="198"/>
    </row>
    <row r="29" spans="1:21">
      <c r="A29" s="49"/>
      <c r="E29" s="2"/>
      <c r="F29" s="2"/>
      <c r="N29" s="2"/>
      <c r="O29" s="2"/>
      <c r="P29" s="49"/>
      <c r="T29" s="2"/>
      <c r="U29" s="2"/>
    </row>
    <row r="30" spans="1:21">
      <c r="L30" s="545" t="s">
        <v>937</v>
      </c>
      <c r="M30" s="546" t="str">
        <f>'Cennik Produkcja '!F426</f>
        <v>NIE</v>
      </c>
    </row>
    <row r="31" spans="1:21">
      <c r="E31" t="s">
        <v>313</v>
      </c>
      <c r="F31" s="199">
        <f>SUM(F21:F30)</f>
        <v>19.789367000000002</v>
      </c>
      <c r="L31" s="545" t="s">
        <v>937</v>
      </c>
      <c r="M31" s="367">
        <f>O10*'Ceny składowe'!C91</f>
        <v>90</v>
      </c>
      <c r="N31" s="1" t="s">
        <v>313</v>
      </c>
      <c r="O31" s="199">
        <f>SUM(O21:O27)</f>
        <v>27.361206999999997</v>
      </c>
      <c r="U31" s="199"/>
    </row>
    <row r="33" spans="5:21">
      <c r="E33" s="125" t="s">
        <v>293</v>
      </c>
      <c r="F33" s="199">
        <f>F31*3.8</f>
        <v>75.199594600000012</v>
      </c>
      <c r="N33" s="125" t="s">
        <v>926</v>
      </c>
      <c r="O33" s="196">
        <f>(_xlfn.IFS(MAX(M5,M6)&lt;=1000, 'Ceny składowe'!C80, MAX(M5,M6)&lt;=1400, 'Ceny składowe'!C81, MAX(M5,M6)&lt;=2000, 'Ceny składowe'!C82, MAX(M5,M6)&gt;2000, 'Ceny składowe'!C83)*O10 + IF(M30="TAK", M31, 0))</f>
        <v>63.48</v>
      </c>
      <c r="T33" s="125"/>
      <c r="U33" s="199"/>
    </row>
    <row r="34" spans="5:21">
      <c r="E34" s="54" t="s">
        <v>294</v>
      </c>
      <c r="F34" s="120">
        <f>(F33-F31)/F31</f>
        <v>2.8000000000000003</v>
      </c>
      <c r="N34" s="54" t="s">
        <v>294</v>
      </c>
      <c r="O34" s="120">
        <f>(O33-O31)/O31</f>
        <v>1.320073087418987</v>
      </c>
      <c r="T34" s="54"/>
      <c r="U34" s="120"/>
    </row>
    <row r="36" spans="5:21" ht="15.6">
      <c r="N36" s="536" t="s">
        <v>927</v>
      </c>
      <c r="O36" s="196">
        <f>(_xlfn.IFS(MAX(M5,M6)&lt;=1000, 'Ceny składowe'!C84,MAX(M5,M6)&lt;=1400, 'Ceny składowe'!C85,MAX(M5,M6)&lt;=2000, 'Ceny składowe'!C86,MAX(M5,M6)&gt;2000, 0)*O10)</f>
        <v>372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R30"/>
  <sheetViews>
    <sheetView topLeftCell="E1" workbookViewId="0">
      <selection activeCell="E4" sqref="E4"/>
    </sheetView>
  </sheetViews>
  <sheetFormatPr defaultRowHeight="14.4"/>
  <cols>
    <col min="4" max="4" width="25.5546875" customWidth="1"/>
    <col min="5" max="5" width="24.6640625" customWidth="1"/>
    <col min="6" max="6" width="11.5546875" customWidth="1"/>
    <col min="8" max="8" width="10.109375" customWidth="1"/>
    <col min="10" max="10" width="16" customWidth="1"/>
    <col min="11" max="11" width="28" customWidth="1"/>
    <col min="12" max="12" width="22.6640625" customWidth="1"/>
    <col min="13" max="13" width="11.6640625" customWidth="1"/>
    <col min="14" max="14" width="9.88671875" customWidth="1"/>
    <col min="15" max="15" width="14.5546875" customWidth="1"/>
    <col min="16" max="16" width="14.33203125" customWidth="1"/>
  </cols>
  <sheetData>
    <row r="4" spans="5:15">
      <c r="E4" t="s">
        <v>120</v>
      </c>
      <c r="L4" t="s">
        <v>722</v>
      </c>
    </row>
    <row r="6" spans="5:15">
      <c r="E6" t="s">
        <v>110</v>
      </c>
      <c r="F6">
        <f>'Cennik Produkcja '!D319</f>
        <v>470</v>
      </c>
      <c r="G6" t="s">
        <v>27</v>
      </c>
      <c r="L6" t="s">
        <v>72</v>
      </c>
      <c r="M6">
        <f>'Cennik Produkcja '!D383</f>
        <v>30</v>
      </c>
      <c r="N6" t="s">
        <v>27</v>
      </c>
    </row>
    <row r="7" spans="5:15">
      <c r="E7" t="s">
        <v>111</v>
      </c>
      <c r="F7">
        <f>'Cennik Produkcja '!E319</f>
        <v>470</v>
      </c>
      <c r="G7" t="s">
        <v>27</v>
      </c>
      <c r="L7" t="s">
        <v>724</v>
      </c>
      <c r="M7">
        <f>'Cennik Produkcja '!E383</f>
        <v>30</v>
      </c>
      <c r="N7" t="s">
        <v>27</v>
      </c>
    </row>
    <row r="8" spans="5:15">
      <c r="L8" t="s">
        <v>26</v>
      </c>
      <c r="M8">
        <f>'Cennik Produkcja '!D385</f>
        <v>1500</v>
      </c>
      <c r="N8" t="s">
        <v>27</v>
      </c>
    </row>
    <row r="9" spans="5:15">
      <c r="K9" s="92" t="s">
        <v>725</v>
      </c>
      <c r="L9" s="141" t="str">
        <f>'Cennik Produkcja '!E385</f>
        <v>Kątownik</v>
      </c>
    </row>
    <row r="10" spans="5:15">
      <c r="E10" t="s">
        <v>65</v>
      </c>
      <c r="F10">
        <v>4</v>
      </c>
      <c r="G10" t="s">
        <v>10</v>
      </c>
      <c r="K10" s="92" t="s">
        <v>726</v>
      </c>
      <c r="L10" s="381">
        <f>'Cennik Produkcja '!F385</f>
        <v>0.8</v>
      </c>
      <c r="M10" s="382">
        <f>L10*8</f>
        <v>6.4</v>
      </c>
    </row>
    <row r="11" spans="5:15">
      <c r="E11" t="s">
        <v>67</v>
      </c>
      <c r="F11">
        <v>4</v>
      </c>
      <c r="G11" t="s">
        <v>10</v>
      </c>
    </row>
    <row r="12" spans="5:15">
      <c r="E12" t="s">
        <v>220</v>
      </c>
      <c r="F12">
        <f>((F6*2)+(F7*2))/1000</f>
        <v>1.88</v>
      </c>
      <c r="G12" t="s">
        <v>2</v>
      </c>
      <c r="K12" s="92" t="s">
        <v>727</v>
      </c>
      <c r="L12">
        <f>(M6+M7)*M8/1000000</f>
        <v>0.09</v>
      </c>
      <c r="M12" t="s">
        <v>19</v>
      </c>
      <c r="N12" s="86">
        <f>IF(L9="Kątownik",L12*M10,0.0001)</f>
        <v>0.57599999999999996</v>
      </c>
      <c r="O12" t="s">
        <v>17</v>
      </c>
    </row>
    <row r="13" spans="5:15">
      <c r="E13" t="s">
        <v>221</v>
      </c>
      <c r="F13">
        <f>((F6*2)+(F7*2))/1000</f>
        <v>1.88</v>
      </c>
      <c r="G13" t="s">
        <v>2</v>
      </c>
      <c r="K13" s="92" t="s">
        <v>728</v>
      </c>
      <c r="L13">
        <f>((M7*2)+M6)*M8/1000000</f>
        <v>0.13500000000000001</v>
      </c>
      <c r="M13" t="s">
        <v>19</v>
      </c>
      <c r="N13" s="86">
        <f>IF(L9="Ceownik",L13*M10,0.0001)</f>
        <v>1E-4</v>
      </c>
      <c r="O13" t="s">
        <v>17</v>
      </c>
    </row>
    <row r="15" spans="5:15">
      <c r="L15" s="86"/>
    </row>
    <row r="21" spans="4:18">
      <c r="D21" s="54" t="s">
        <v>100</v>
      </c>
      <c r="E21" s="13" t="s">
        <v>4</v>
      </c>
      <c r="F21" s="10" t="s">
        <v>5</v>
      </c>
      <c r="H21" s="13" t="s">
        <v>6</v>
      </c>
      <c r="I21" s="13" t="s">
        <v>7</v>
      </c>
      <c r="K21" s="54" t="s">
        <v>100</v>
      </c>
      <c r="L21" s="13" t="s">
        <v>4</v>
      </c>
      <c r="M21" s="10" t="s">
        <v>5</v>
      </c>
      <c r="O21" s="13" t="s">
        <v>6</v>
      </c>
      <c r="P21" s="13" t="s">
        <v>7</v>
      </c>
      <c r="Q21" s="13"/>
      <c r="R21" s="13" t="s">
        <v>951</v>
      </c>
    </row>
    <row r="22" spans="4:18">
      <c r="D22" t="s">
        <v>337</v>
      </c>
      <c r="E22" t="s">
        <v>65</v>
      </c>
      <c r="F22" s="90">
        <f>IF(OR(F6&gt;1000,F7&gt;1000),0.0001,4)</f>
        <v>4</v>
      </c>
      <c r="G22" t="s">
        <v>10</v>
      </c>
      <c r="H22" s="195">
        <f>'Ceny składowe'!C20</f>
        <v>0.27</v>
      </c>
      <c r="I22" s="195">
        <f t="shared" ref="I22:I25" si="0">H22*F22</f>
        <v>1.08</v>
      </c>
      <c r="K22" s="49" t="s">
        <v>176</v>
      </c>
      <c r="L22" t="s">
        <v>471</v>
      </c>
      <c r="M22" s="86">
        <f>IF(M10=4.8,(N12+N13),0.0001)</f>
        <v>1E-4</v>
      </c>
      <c r="N22" t="s">
        <v>17</v>
      </c>
      <c r="O22" s="383">
        <f>'Ceny składowe'!C6</f>
        <v>4.3</v>
      </c>
      <c r="P22" s="196">
        <f>(M22*O22)</f>
        <v>4.2999999999999999E-4</v>
      </c>
      <c r="Q22" s="196"/>
      <c r="R22" s="196">
        <f>P22*2</f>
        <v>8.5999999999999998E-4</v>
      </c>
    </row>
    <row r="23" spans="4:18">
      <c r="D23" t="s">
        <v>336</v>
      </c>
      <c r="E23" t="s">
        <v>67</v>
      </c>
      <c r="F23" s="90">
        <f>IF(OR(F6&gt;1000,F7&gt;1000),4,0.0001)</f>
        <v>1E-4</v>
      </c>
      <c r="G23" t="s">
        <v>10</v>
      </c>
      <c r="H23" s="195">
        <f>'Ceny składowe'!C22</f>
        <v>0.75</v>
      </c>
      <c r="I23" s="195">
        <f t="shared" si="0"/>
        <v>7.5000000000000007E-5</v>
      </c>
      <c r="K23" s="49" t="s">
        <v>246</v>
      </c>
      <c r="L23" t="s">
        <v>472</v>
      </c>
      <c r="M23" s="86">
        <f>IF(M10=6.4,(N12+N13),0.0001)</f>
        <v>0.57609999999999995</v>
      </c>
      <c r="N23" t="s">
        <v>17</v>
      </c>
      <c r="O23" s="383">
        <f>'Ceny składowe'!C7</f>
        <v>4.2</v>
      </c>
      <c r="P23" s="196">
        <f>(M23*O23)</f>
        <v>2.4196199999999997</v>
      </c>
      <c r="Q23" s="196"/>
      <c r="R23" s="196">
        <f>P23*2</f>
        <v>4.8392399999999993</v>
      </c>
    </row>
    <row r="24" spans="4:18">
      <c r="D24" t="s">
        <v>334</v>
      </c>
      <c r="E24" t="s">
        <v>220</v>
      </c>
      <c r="F24" s="86">
        <f>IF(OR(F6&gt;1000,F7&gt;1000),0.0001,F12)</f>
        <v>1.88</v>
      </c>
      <c r="G24" t="s">
        <v>2</v>
      </c>
      <c r="H24" s="195">
        <f>'Ceny składowe'!C34</f>
        <v>1.89</v>
      </c>
      <c r="I24" s="195">
        <f t="shared" si="0"/>
        <v>3.5531999999999995</v>
      </c>
      <c r="O24" s="581" t="s">
        <v>950</v>
      </c>
      <c r="P24" s="335">
        <f>O26</f>
        <v>2.8</v>
      </c>
    </row>
    <row r="25" spans="4:18">
      <c r="D25" t="s">
        <v>406</v>
      </c>
      <c r="E25" t="s">
        <v>221</v>
      </c>
      <c r="F25" s="86">
        <f>IF(OR(F6&gt;1000,F7&gt;1000),F13,0.0001)</f>
        <v>1E-4</v>
      </c>
      <c r="G25" t="s">
        <v>2</v>
      </c>
      <c r="H25" s="195">
        <f>'Ceny składowe'!C36</f>
        <v>2.92</v>
      </c>
      <c r="I25" s="195">
        <f t="shared" si="0"/>
        <v>2.92E-4</v>
      </c>
    </row>
    <row r="26" spans="4:18">
      <c r="H26" s="2"/>
      <c r="I26" s="2"/>
      <c r="K26" s="236" t="s">
        <v>411</v>
      </c>
      <c r="L26" s="237">
        <f>_xlfn.IFS(
  AND(L9="Kątownik", M8&gt;=1000), 4,
  AND(L9="Kątownik", M8&gt;=500), 3,
  AND(L9="Kątownik", M8&lt;500), 2,
  AND(L9="Ceownik", M8&gt;=1000), 6,
  AND(L9="Ceownik", M8&gt;=500), 5,
  AND(L9="Ceownik", M8&lt;500), 4
)</f>
        <v>4</v>
      </c>
      <c r="M26" s="237" t="s">
        <v>412</v>
      </c>
      <c r="N26" s="261">
        <f>'Ceny składowe'!C94</f>
        <v>0.7</v>
      </c>
      <c r="O26" s="261">
        <f>L26*N26</f>
        <v>2.8</v>
      </c>
    </row>
    <row r="27" spans="4:18">
      <c r="H27" s="123" t="s">
        <v>43</v>
      </c>
      <c r="I27" s="195">
        <f>SUM(I22:I26)</f>
        <v>4.6335669999999993</v>
      </c>
      <c r="K27" s="86"/>
      <c r="L27" s="159"/>
      <c r="M27" s="74"/>
      <c r="N27" s="74"/>
      <c r="O27" s="237" t="s">
        <v>413</v>
      </c>
      <c r="P27" s="261">
        <f>P22+P23+O26</f>
        <v>5.2200499999999996</v>
      </c>
    </row>
    <row r="28" spans="4:18">
      <c r="I28" s="196"/>
      <c r="P28" s="1"/>
    </row>
    <row r="29" spans="4:18">
      <c r="H29" s="125" t="s">
        <v>293</v>
      </c>
      <c r="I29" s="195">
        <f>I27*3.6</f>
        <v>16.6808412</v>
      </c>
      <c r="O29" s="54" t="s">
        <v>296</v>
      </c>
      <c r="P29" s="195">
        <f>R22+R23+P24</f>
        <v>7.6400999999999994</v>
      </c>
    </row>
    <row r="30" spans="4:18">
      <c r="H30" s="54" t="s">
        <v>294</v>
      </c>
      <c r="I30" s="126">
        <f>(I29-I27)/I27</f>
        <v>2.6000000000000005</v>
      </c>
      <c r="O30" s="54" t="s">
        <v>294</v>
      </c>
      <c r="P30" s="126">
        <f>(P29-P27)/P27</f>
        <v>0.46360667043419124</v>
      </c>
    </row>
  </sheetData>
  <pageMargins left="0.7" right="0.7" top="0.75" bottom="0.75" header="0.3" footer="0.3"/>
  <pageSetup paperSize="256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31"/>
  <sheetViews>
    <sheetView workbookViewId="0">
      <selection activeCell="B3" sqref="B3"/>
    </sheetView>
  </sheetViews>
  <sheetFormatPr defaultRowHeight="14.4"/>
  <cols>
    <col min="1" max="1" width="20.33203125" customWidth="1"/>
    <col min="2" max="2" width="24.44140625" customWidth="1"/>
    <col min="3" max="3" width="12.6640625" customWidth="1"/>
    <col min="6" max="6" width="10.88671875" customWidth="1"/>
    <col min="7" max="7" width="9.88671875" bestFit="1" customWidth="1"/>
    <col min="9" max="9" width="23.5546875" customWidth="1"/>
    <col min="10" max="10" width="8.5546875" customWidth="1"/>
    <col min="11" max="11" width="9.88671875" bestFit="1" customWidth="1"/>
    <col min="12" max="13" width="9.109375" style="1"/>
  </cols>
  <sheetData>
    <row r="3" spans="2:4">
      <c r="B3" t="s">
        <v>282</v>
      </c>
    </row>
    <row r="6" spans="2:4">
      <c r="B6" t="s">
        <v>131</v>
      </c>
      <c r="C6">
        <f>'Cennik Produkcja '!E265</f>
        <v>315</v>
      </c>
      <c r="D6" t="s">
        <v>27</v>
      </c>
    </row>
    <row r="7" spans="2:4">
      <c r="B7" t="s">
        <v>89</v>
      </c>
      <c r="C7">
        <f>'Cennik Produkcja '!D265</f>
        <v>500</v>
      </c>
      <c r="D7" t="s">
        <v>27</v>
      </c>
    </row>
    <row r="8" spans="2:4">
      <c r="B8" t="s">
        <v>110</v>
      </c>
      <c r="C8">
        <f>'Cennik Produkcja '!D263</f>
        <v>435</v>
      </c>
      <c r="D8" t="s">
        <v>27</v>
      </c>
    </row>
    <row r="9" spans="2:4">
      <c r="B9" t="s">
        <v>111</v>
      </c>
      <c r="C9">
        <f>'Cennik Produkcja '!E263</f>
        <v>435</v>
      </c>
      <c r="D9" t="s">
        <v>27</v>
      </c>
    </row>
    <row r="11" spans="2:4">
      <c r="B11" t="s">
        <v>279</v>
      </c>
      <c r="C11" s="70">
        <f>(((C6*3.14)+7)*C7)/1000000</f>
        <v>0.49804999999999999</v>
      </c>
      <c r="D11" t="s">
        <v>19</v>
      </c>
    </row>
    <row r="12" spans="2:4">
      <c r="B12" t="s">
        <v>280</v>
      </c>
      <c r="C12">
        <f>(C8*C9)/1000000</f>
        <v>0.189225</v>
      </c>
      <c r="D12" t="s">
        <v>19</v>
      </c>
    </row>
    <row r="13" spans="2:4">
      <c r="B13" t="s">
        <v>281</v>
      </c>
      <c r="C13" s="70">
        <f>((C6/2)^2*3.14)/1000000</f>
        <v>7.7891625000000006E-2</v>
      </c>
      <c r="D13" t="s">
        <v>19</v>
      </c>
    </row>
    <row r="14" spans="2:4">
      <c r="B14" t="s">
        <v>758</v>
      </c>
      <c r="C14" s="70">
        <f>(C6*3.14)*100/1000000+0.025</f>
        <v>0.12390999999999999</v>
      </c>
      <c r="D14" t="s">
        <v>19</v>
      </c>
    </row>
    <row r="15" spans="2:4">
      <c r="B15" t="s">
        <v>124</v>
      </c>
      <c r="C15" s="70">
        <f>C11+(C12-C13)+C14</f>
        <v>0.73329337499999991</v>
      </c>
      <c r="D15" t="s">
        <v>19</v>
      </c>
    </row>
    <row r="17" spans="1:12">
      <c r="B17" t="s">
        <v>52</v>
      </c>
      <c r="C17">
        <v>0.6</v>
      </c>
      <c r="D17">
        <v>0.8</v>
      </c>
      <c r="L17"/>
    </row>
    <row r="18" spans="1:12">
      <c r="B18" t="s">
        <v>53</v>
      </c>
      <c r="C18">
        <v>8</v>
      </c>
    </row>
    <row r="20" spans="1:12">
      <c r="B20" t="s">
        <v>954</v>
      </c>
      <c r="C20" s="86">
        <f>(C11+C14)*C17*C18</f>
        <v>2.9854079999999996</v>
      </c>
      <c r="D20" t="s">
        <v>17</v>
      </c>
    </row>
    <row r="21" spans="1:12">
      <c r="B21" t="s">
        <v>955</v>
      </c>
      <c r="C21" s="86">
        <f>(C12-C13)*D17*C18</f>
        <v>0.71253359999999999</v>
      </c>
      <c r="D21" t="s">
        <v>17</v>
      </c>
    </row>
    <row r="24" spans="1:12">
      <c r="A24" s="73" t="s">
        <v>100</v>
      </c>
      <c r="B24" s="10" t="s">
        <v>4</v>
      </c>
      <c r="C24" s="10" t="s">
        <v>5</v>
      </c>
      <c r="D24" s="11"/>
      <c r="E24" s="13" t="s">
        <v>6</v>
      </c>
      <c r="F24" s="13" t="s">
        <v>7</v>
      </c>
      <c r="G24" s="13" t="s">
        <v>801</v>
      </c>
      <c r="I24" s="587" t="s">
        <v>805</v>
      </c>
      <c r="J24" s="587"/>
    </row>
    <row r="25" spans="1:12">
      <c r="A25" t="s">
        <v>176</v>
      </c>
      <c r="B25" t="s">
        <v>127</v>
      </c>
      <c r="C25" s="86">
        <f>C20</f>
        <v>2.9854079999999996</v>
      </c>
      <c r="D25" t="s">
        <v>17</v>
      </c>
      <c r="E25" s="199">
        <f>'Ceny składowe'!C6</f>
        <v>4.3</v>
      </c>
      <c r="F25" s="199">
        <f>(C14*C17*C18)*E25</f>
        <v>2.5575023999999997</v>
      </c>
      <c r="G25" s="195">
        <f>((C11*4.8)*E25)+J27+J28</f>
        <v>21.329751999999999</v>
      </c>
      <c r="I25" t="s">
        <v>608</v>
      </c>
      <c r="J25" s="335">
        <f>'Ceny składowe'!C79</f>
        <v>2.1</v>
      </c>
      <c r="K25" t="s">
        <v>450</v>
      </c>
    </row>
    <row r="26" spans="1:12">
      <c r="A26" s="108" t="s">
        <v>246</v>
      </c>
      <c r="B26" t="s">
        <v>257</v>
      </c>
      <c r="C26" s="86">
        <f>C21</f>
        <v>0.71253359999999999</v>
      </c>
      <c r="D26" t="s">
        <v>17</v>
      </c>
      <c r="E26" s="199">
        <f>'Ceny składowe'!C7</f>
        <v>4.2</v>
      </c>
      <c r="F26" s="199">
        <f>E26*C26</f>
        <v>2.99264112</v>
      </c>
      <c r="I26" s="92" t="s">
        <v>803</v>
      </c>
      <c r="J26" s="420">
        <f>C7/1000</f>
        <v>0.5</v>
      </c>
      <c r="K26" t="s">
        <v>450</v>
      </c>
    </row>
    <row r="27" spans="1:12">
      <c r="E27" s="2"/>
      <c r="F27" s="2"/>
      <c r="I27" s="92" t="s">
        <v>802</v>
      </c>
      <c r="J27" s="196">
        <f>J26*J25</f>
        <v>1.05</v>
      </c>
    </row>
    <row r="28" spans="1:12">
      <c r="E28" s="57" t="s">
        <v>265</v>
      </c>
      <c r="F28" s="199">
        <f>F25+F26</f>
        <v>5.5501435199999998</v>
      </c>
      <c r="I28" s="421" t="s">
        <v>804</v>
      </c>
      <c r="J28" s="196">
        <f>IF(C7&gt;10,10,0)</f>
        <v>10</v>
      </c>
    </row>
    <row r="30" spans="1:12">
      <c r="E30" s="129" t="s">
        <v>293</v>
      </c>
      <c r="F30" s="199">
        <f>_xlfn.IFS(
  C6&lt;125, F28*21.3+G25,
  C6&lt;160, F28*21.8+G25,
  C6&lt;200, F28*20+G25,
  C6&lt;250, F28*20.4+G25,
  C6&lt;315, F28*20.2+G25,
  C6&lt;400, F28*20.5+G25,
  C6&gt;=400, F28*24.5+G25
)</f>
        <v>135.10769415999999</v>
      </c>
    </row>
    <row r="31" spans="1:12">
      <c r="E31" s="129" t="s">
        <v>294</v>
      </c>
      <c r="F31" s="120">
        <f>(F30-F28)/F28</f>
        <v>23.343099178091162</v>
      </c>
    </row>
  </sheetData>
  <mergeCells count="1">
    <mergeCell ref="I24:J24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Q116"/>
  <sheetViews>
    <sheetView workbookViewId="0">
      <selection activeCell="A115" sqref="A115"/>
    </sheetView>
  </sheetViews>
  <sheetFormatPr defaultRowHeight="14.4"/>
  <cols>
    <col min="1" max="1" width="25.33203125" customWidth="1"/>
    <col min="2" max="2" width="24.88671875" customWidth="1"/>
    <col min="3" max="3" width="10.88671875" customWidth="1"/>
    <col min="4" max="4" width="10.6640625" customWidth="1"/>
    <col min="5" max="5" width="13.109375" customWidth="1"/>
    <col min="6" max="6" width="12.33203125" customWidth="1"/>
    <col min="7" max="7" width="13.33203125" customWidth="1"/>
    <col min="9" max="9" width="26" customWidth="1"/>
    <col min="10" max="10" width="24.44140625" customWidth="1"/>
    <col min="11" max="11" width="11.88671875" customWidth="1"/>
    <col min="13" max="13" width="10.5546875" customWidth="1"/>
    <col min="14" max="14" width="10.109375" customWidth="1"/>
  </cols>
  <sheetData>
    <row r="4" spans="1:8">
      <c r="A4" s="73" t="s">
        <v>271</v>
      </c>
    </row>
    <row r="8" spans="1:8">
      <c r="A8" s="1" t="s">
        <v>140</v>
      </c>
      <c r="B8" s="1" t="s">
        <v>268</v>
      </c>
      <c r="C8" s="1"/>
      <c r="D8" s="1" t="s">
        <v>269</v>
      </c>
      <c r="E8" s="1" t="s">
        <v>34</v>
      </c>
      <c r="F8" s="1"/>
      <c r="G8" s="1" t="s">
        <v>266</v>
      </c>
      <c r="H8" s="121" t="s">
        <v>267</v>
      </c>
    </row>
    <row r="9" spans="1:8">
      <c r="A9">
        <v>100</v>
      </c>
      <c r="B9" s="86">
        <v>0.8</v>
      </c>
      <c r="C9" t="s">
        <v>17</v>
      </c>
      <c r="D9">
        <f>IF('Cennik Produkcja '!$D$277=Wyrzutnie!A9,B9,0)</f>
        <v>0</v>
      </c>
      <c r="E9" s="84">
        <f>IF(D9&gt;0,(A9*0.6)*(A9*3.14)*1.1/1000000,0)</f>
        <v>0</v>
      </c>
      <c r="G9" s="2">
        <v>120</v>
      </c>
      <c r="H9" s="122">
        <v>15.45</v>
      </c>
    </row>
    <row r="10" spans="1:8">
      <c r="A10">
        <v>125</v>
      </c>
      <c r="B10" s="86">
        <v>1.1000000000000001</v>
      </c>
      <c r="C10" t="s">
        <v>17</v>
      </c>
      <c r="D10">
        <f>IF('Cennik Produkcja '!$D$277=Wyrzutnie!A10,B10,0)</f>
        <v>0</v>
      </c>
      <c r="E10" s="84">
        <f t="shared" ref="E10:E14" si="0">IF(D10&gt;0,(A10*0.6)*(A10*3.14)*1.1/1000000,0)</f>
        <v>0</v>
      </c>
      <c r="G10" s="2">
        <v>130</v>
      </c>
      <c r="H10" s="122">
        <v>13.03</v>
      </c>
    </row>
    <row r="11" spans="1:8">
      <c r="A11">
        <v>160</v>
      </c>
      <c r="B11" s="86">
        <v>1.5</v>
      </c>
      <c r="C11" t="s">
        <v>17</v>
      </c>
      <c r="D11">
        <f>IF('Cennik Produkcja '!$D$277=Wyrzutnie!A11,B11,0)</f>
        <v>0</v>
      </c>
      <c r="E11" s="84">
        <f t="shared" si="0"/>
        <v>0</v>
      </c>
      <c r="G11" s="2">
        <v>140</v>
      </c>
      <c r="H11" s="122">
        <v>10.71</v>
      </c>
    </row>
    <row r="12" spans="1:8">
      <c r="A12">
        <v>200</v>
      </c>
      <c r="B12" s="86">
        <v>2</v>
      </c>
      <c r="C12" t="s">
        <v>17</v>
      </c>
      <c r="D12">
        <f>IF('Cennik Produkcja '!$D$277=Wyrzutnie!A12,B12,0)</f>
        <v>0</v>
      </c>
      <c r="E12" s="84">
        <f t="shared" si="0"/>
        <v>0</v>
      </c>
      <c r="G12" s="2">
        <v>160</v>
      </c>
      <c r="H12" s="122">
        <v>9.39</v>
      </c>
    </row>
    <row r="13" spans="1:8">
      <c r="A13">
        <v>250</v>
      </c>
      <c r="B13" s="86">
        <v>2.6</v>
      </c>
      <c r="C13" t="s">
        <v>17</v>
      </c>
      <c r="D13">
        <f>IF('Cennik Produkcja '!$D$277=Wyrzutnie!A13,B13,0)</f>
        <v>0</v>
      </c>
      <c r="E13" s="84">
        <f t="shared" si="0"/>
        <v>0</v>
      </c>
      <c r="G13" s="2">
        <v>180</v>
      </c>
      <c r="H13" s="122">
        <v>8.1</v>
      </c>
    </row>
    <row r="14" spans="1:8">
      <c r="A14">
        <v>300</v>
      </c>
      <c r="B14" s="86">
        <v>4</v>
      </c>
      <c r="C14" t="s">
        <v>17</v>
      </c>
      <c r="D14">
        <f>IF('Cennik Produkcja '!$D$277=Wyrzutnie!A14,B14,0)</f>
        <v>0</v>
      </c>
      <c r="E14" s="84">
        <f t="shared" si="0"/>
        <v>0</v>
      </c>
      <c r="G14" s="2">
        <v>220</v>
      </c>
      <c r="H14" s="122"/>
    </row>
    <row r="15" spans="1:8">
      <c r="A15">
        <v>315</v>
      </c>
      <c r="B15" s="86">
        <v>4.2</v>
      </c>
      <c r="C15" t="s">
        <v>17</v>
      </c>
      <c r="D15">
        <f>IF('Cennik Produkcja '!$D$277=Wyrzutnie!A15,B15,0)</f>
        <v>4.2</v>
      </c>
      <c r="E15" s="84">
        <f t="shared" ref="E15:E22" si="1">IF(D15&gt;0,(A15*0.6)*(A15*3.14)*1.1/1000000,0)</f>
        <v>0.20563389000000001</v>
      </c>
      <c r="G15" s="2">
        <v>240</v>
      </c>
      <c r="H15" s="122">
        <v>6.86</v>
      </c>
    </row>
    <row r="16" spans="1:8">
      <c r="A16">
        <v>355</v>
      </c>
      <c r="B16" s="86">
        <v>4.9000000000000004</v>
      </c>
      <c r="C16" t="s">
        <v>17</v>
      </c>
      <c r="D16">
        <f>IF('Cennik Produkcja '!$D$277=Wyrzutnie!A16,B16,0)</f>
        <v>0</v>
      </c>
      <c r="E16" s="84">
        <f t="shared" si="1"/>
        <v>0</v>
      </c>
      <c r="G16" s="2">
        <v>350</v>
      </c>
      <c r="H16" s="122">
        <v>5.6</v>
      </c>
    </row>
    <row r="17" spans="1:8">
      <c r="A17">
        <v>400</v>
      </c>
      <c r="B17" s="86">
        <v>6.4</v>
      </c>
      <c r="C17" t="s">
        <v>17</v>
      </c>
      <c r="D17">
        <f>IF('Cennik Produkcja '!$D$277=Wyrzutnie!A17,B17,0)</f>
        <v>0</v>
      </c>
      <c r="E17" s="84">
        <f t="shared" si="1"/>
        <v>0</v>
      </c>
      <c r="G17" s="2">
        <v>400</v>
      </c>
      <c r="H17" s="122">
        <v>5.17</v>
      </c>
    </row>
    <row r="18" spans="1:8">
      <c r="A18">
        <v>450</v>
      </c>
      <c r="B18" s="86">
        <v>8.5</v>
      </c>
      <c r="C18" t="s">
        <v>17</v>
      </c>
      <c r="D18">
        <f>IF('Cennik Produkcja '!$D$277=Wyrzutnie!A18,B18,0)</f>
        <v>0</v>
      </c>
      <c r="E18" s="84">
        <f t="shared" si="1"/>
        <v>0</v>
      </c>
      <c r="G18" s="2">
        <v>450</v>
      </c>
      <c r="H18" s="122">
        <v>4.33</v>
      </c>
    </row>
    <row r="19" spans="1:8">
      <c r="A19">
        <v>500</v>
      </c>
      <c r="B19" s="86">
        <v>11</v>
      </c>
      <c r="C19" t="s">
        <v>17</v>
      </c>
      <c r="D19">
        <f>IF('Cennik Produkcja '!$D$277=Wyrzutnie!A19,B19,0)</f>
        <v>0</v>
      </c>
      <c r="E19" s="84">
        <f t="shared" si="1"/>
        <v>0</v>
      </c>
      <c r="G19" s="2">
        <v>500</v>
      </c>
      <c r="H19" s="122">
        <v>3.89</v>
      </c>
    </row>
    <row r="20" spans="1:8">
      <c r="A20">
        <v>630</v>
      </c>
      <c r="B20" s="86">
        <v>16.899999999999999</v>
      </c>
      <c r="C20" t="s">
        <v>17</v>
      </c>
      <c r="D20">
        <f>IF('Cennik Produkcja '!$D$277=Wyrzutnie!A20,B20,0)</f>
        <v>0</v>
      </c>
      <c r="E20" s="84">
        <f t="shared" si="1"/>
        <v>0</v>
      </c>
    </row>
    <row r="21" spans="1:8">
      <c r="A21">
        <v>710</v>
      </c>
      <c r="B21" s="86">
        <v>23.4</v>
      </c>
      <c r="C21" t="s">
        <v>17</v>
      </c>
      <c r="D21">
        <f>IF('Cennik Produkcja '!$D$277=Wyrzutnie!A21,B21,0)</f>
        <v>0</v>
      </c>
      <c r="E21" s="84">
        <f t="shared" si="1"/>
        <v>0</v>
      </c>
    </row>
    <row r="22" spans="1:8">
      <c r="A22">
        <v>800</v>
      </c>
      <c r="B22" s="86">
        <v>27.1</v>
      </c>
      <c r="C22" t="s">
        <v>17</v>
      </c>
      <c r="D22">
        <f>IF('Cennik Produkcja '!$D$277=Wyrzutnie!A22,B22,0)</f>
        <v>0</v>
      </c>
      <c r="E22" s="84">
        <f t="shared" si="1"/>
        <v>0</v>
      </c>
    </row>
    <row r="24" spans="1:8">
      <c r="C24" t="s">
        <v>236</v>
      </c>
      <c r="D24">
        <f>SUM(D9:D23)</f>
        <v>4.2</v>
      </c>
      <c r="E24" s="84">
        <f>SUM(E9:E23)</f>
        <v>0.20563389000000001</v>
      </c>
    </row>
    <row r="27" spans="1:8">
      <c r="A27" s="73" t="s">
        <v>100</v>
      </c>
      <c r="B27" s="10" t="s">
        <v>4</v>
      </c>
      <c r="C27" s="10" t="s">
        <v>5</v>
      </c>
      <c r="D27" s="11"/>
      <c r="E27" s="13" t="s">
        <v>6</v>
      </c>
      <c r="F27" s="13" t="s">
        <v>7</v>
      </c>
    </row>
    <row r="28" spans="1:8">
      <c r="A28" t="s">
        <v>176</v>
      </c>
      <c r="B28" t="s">
        <v>127</v>
      </c>
      <c r="C28" s="86">
        <f>D24*1.4</f>
        <v>5.88</v>
      </c>
      <c r="D28" t="s">
        <v>17</v>
      </c>
      <c r="E28" s="324">
        <f>'Ceny składowe'!C6</f>
        <v>4.3</v>
      </c>
      <c r="F28" s="199">
        <f>E28*C28</f>
        <v>25.283999999999999</v>
      </c>
    </row>
    <row r="29" spans="1:8">
      <c r="A29" t="s">
        <v>149</v>
      </c>
      <c r="B29" t="s">
        <v>250</v>
      </c>
      <c r="C29" s="86">
        <f>E24</f>
        <v>0.20563389000000001</v>
      </c>
      <c r="D29" t="s">
        <v>2</v>
      </c>
      <c r="E29" s="324">
        <f>'Ceny składowe'!C42</f>
        <v>17.2</v>
      </c>
      <c r="F29" s="199">
        <f>E29*C29</f>
        <v>3.5369029080000001</v>
      </c>
    </row>
    <row r="30" spans="1:8">
      <c r="E30" s="2"/>
      <c r="F30" s="2"/>
    </row>
    <row r="31" spans="1:8">
      <c r="E31" s="119" t="s">
        <v>265</v>
      </c>
      <c r="F31" s="199">
        <f>SUM(F28:F30)</f>
        <v>28.820902908000001</v>
      </c>
      <c r="G31" s="2"/>
      <c r="H31" s="120"/>
    </row>
    <row r="38" spans="1:11">
      <c r="A38" s="73" t="s">
        <v>586</v>
      </c>
      <c r="B38" s="73"/>
      <c r="J38" s="73"/>
    </row>
    <row r="39" spans="1:11">
      <c r="I39" s="73" t="s">
        <v>565</v>
      </c>
    </row>
    <row r="42" spans="1:11">
      <c r="B42" s="92" t="s">
        <v>110</v>
      </c>
      <c r="C42">
        <f>'Cennik Produkcja '!D284</f>
        <v>215</v>
      </c>
      <c r="J42" s="92" t="s">
        <v>110</v>
      </c>
      <c r="K42">
        <f>'Cennik Produkcja '!D42</f>
        <v>400</v>
      </c>
    </row>
    <row r="43" spans="1:11">
      <c r="B43" s="92" t="s">
        <v>111</v>
      </c>
      <c r="C43">
        <f>'Cennik Produkcja '!E284</f>
        <v>215</v>
      </c>
      <c r="J43" s="92" t="s">
        <v>111</v>
      </c>
      <c r="K43">
        <f>'Cennik Produkcja '!E42</f>
        <v>400</v>
      </c>
    </row>
    <row r="44" spans="1:11">
      <c r="B44" s="92" t="s">
        <v>89</v>
      </c>
      <c r="C44">
        <f>'Cennik Produkcja '!D286</f>
        <v>400</v>
      </c>
      <c r="J44" s="92" t="s">
        <v>239</v>
      </c>
      <c r="K44">
        <f>K42*2+100</f>
        <v>900</v>
      </c>
    </row>
    <row r="45" spans="1:11">
      <c r="B45" s="92"/>
      <c r="J45" s="92" t="s">
        <v>525</v>
      </c>
      <c r="K45">
        <f>IF(K42&lt;=250,660,IF(K42&lt;=300,720,IF(K42&lt;=400,890,IF(K42&lt;=500,1060,IF(K42&lt;=600,1200,IF(K42&lt;=700,1400,IF(K42&lt;=800,1540,IF(K42&lt;=900,1700,IF(K42&lt;=1000,1880,IF(K42&lt;=1100,2000,IF(K42&lt;=1200,2220,IF(K42&lt;=1500,2520))))))))))))</f>
        <v>890</v>
      </c>
    </row>
    <row r="46" spans="1:11">
      <c r="B46" s="92"/>
      <c r="J46" s="92" t="s">
        <v>583</v>
      </c>
      <c r="K46">
        <f>K45-200</f>
        <v>690</v>
      </c>
    </row>
    <row r="47" spans="1:11">
      <c r="B47" s="92" t="s">
        <v>559</v>
      </c>
      <c r="C47" s="84">
        <f>((C42+C42+C43+C43)*C44)/1000000-C49/2</f>
        <v>0.29777499999999996</v>
      </c>
      <c r="D47" t="s">
        <v>19</v>
      </c>
      <c r="E47" s="86"/>
      <c r="J47" s="92" t="s">
        <v>584</v>
      </c>
      <c r="K47">
        <f>((K44-(K42+50))/2)*2</f>
        <v>450</v>
      </c>
    </row>
    <row r="48" spans="1:11">
      <c r="B48" s="92" t="s">
        <v>560</v>
      </c>
      <c r="C48" s="84">
        <f>(C42+(C42/3*1.3*2))*(C43+(C42/3*1.3*2))/1000000</f>
        <v>0.16106844444444446</v>
      </c>
      <c r="D48" t="s">
        <v>19</v>
      </c>
      <c r="E48" s="86"/>
      <c r="J48" s="92"/>
    </row>
    <row r="49" spans="1:14">
      <c r="B49" s="92" t="s">
        <v>310</v>
      </c>
      <c r="C49" s="84">
        <f>(C42/3*1.5)*(C42+C42+C43+C43)/1000000</f>
        <v>9.2450000000000004E-2</v>
      </c>
      <c r="D49" t="s">
        <v>19</v>
      </c>
      <c r="J49" s="92" t="s">
        <v>559</v>
      </c>
      <c r="K49" s="84">
        <f>((((K44+K42+50)*(K46/2)/2)*4)+(K43*(K47*4)))/1000000</f>
        <v>1.6515</v>
      </c>
      <c r="L49" t="s">
        <v>19</v>
      </c>
      <c r="M49" s="86"/>
    </row>
    <row r="50" spans="1:14">
      <c r="B50" s="92" t="s">
        <v>69</v>
      </c>
      <c r="C50" s="86">
        <f>(C42+C42+C43+C43)/1000</f>
        <v>0.86</v>
      </c>
      <c r="D50" t="s">
        <v>2</v>
      </c>
      <c r="J50" s="92" t="s">
        <v>580</v>
      </c>
      <c r="K50" s="84">
        <f>((K42*2)+(K43*2))*300/1000000</f>
        <v>0.48</v>
      </c>
      <c r="L50" t="s">
        <v>19</v>
      </c>
      <c r="M50" s="86"/>
    </row>
    <row r="51" spans="1:14">
      <c r="B51" s="92" t="s">
        <v>66</v>
      </c>
      <c r="C51" s="86">
        <f>C50</f>
        <v>0.86</v>
      </c>
      <c r="D51" t="s">
        <v>2</v>
      </c>
      <c r="J51" s="92" t="s">
        <v>581</v>
      </c>
      <c r="K51">
        <f>((K47-100)*2)*(K43+50)/1000000</f>
        <v>0.315</v>
      </c>
      <c r="L51" t="s">
        <v>585</v>
      </c>
    </row>
    <row r="52" spans="1:14">
      <c r="B52" s="92"/>
      <c r="J52" s="92" t="s">
        <v>310</v>
      </c>
      <c r="K52" s="84">
        <f>(K42+65)*(K43+65)/1000000</f>
        <v>0.216225</v>
      </c>
      <c r="L52" t="s">
        <v>19</v>
      </c>
    </row>
    <row r="53" spans="1:14">
      <c r="B53" s="92" t="s">
        <v>127</v>
      </c>
      <c r="C53" s="86">
        <f>(C47+C48)*4.8</f>
        <v>2.202448533333333</v>
      </c>
      <c r="D53" t="s">
        <v>17</v>
      </c>
      <c r="J53" s="92" t="s">
        <v>69</v>
      </c>
      <c r="K53" s="86">
        <f>(K42+K42+K43+K43)/1000</f>
        <v>1.6</v>
      </c>
      <c r="L53" t="s">
        <v>2</v>
      </c>
    </row>
    <row r="54" spans="1:14">
      <c r="B54" s="92" t="s">
        <v>257</v>
      </c>
      <c r="C54" s="86">
        <f>(C47+C48)*6.4</f>
        <v>2.9365980444444446</v>
      </c>
      <c r="D54" t="s">
        <v>17</v>
      </c>
      <c r="J54" s="92" t="s">
        <v>66</v>
      </c>
      <c r="K54" s="86">
        <f>K53</f>
        <v>1.6</v>
      </c>
      <c r="L54" t="s">
        <v>2</v>
      </c>
    </row>
    <row r="55" spans="1:14">
      <c r="J55" s="92"/>
    </row>
    <row r="56" spans="1:14">
      <c r="J56" s="92" t="s">
        <v>127</v>
      </c>
      <c r="K56" s="86">
        <f>(K49+K50)*4.8</f>
        <v>10.231199999999999</v>
      </c>
      <c r="L56" t="s">
        <v>17</v>
      </c>
    </row>
    <row r="57" spans="1:14">
      <c r="J57" s="92" t="s">
        <v>257</v>
      </c>
      <c r="K57" s="86">
        <f>(K49+K50)*6.4</f>
        <v>13.6416</v>
      </c>
      <c r="L57" t="s">
        <v>17</v>
      </c>
    </row>
    <row r="58" spans="1:14">
      <c r="A58" s="54" t="s">
        <v>100</v>
      </c>
      <c r="B58" s="13" t="s">
        <v>4</v>
      </c>
      <c r="C58" s="143" t="s">
        <v>5</v>
      </c>
      <c r="D58" s="54"/>
      <c r="E58" s="54" t="s">
        <v>6</v>
      </c>
      <c r="F58" s="54" t="s">
        <v>312</v>
      </c>
    </row>
    <row r="59" spans="1:14">
      <c r="A59" s="49" t="s">
        <v>176</v>
      </c>
      <c r="B59" t="s">
        <v>471</v>
      </c>
      <c r="C59" s="86">
        <f>IF(OR(C42&gt;1000,C43&gt;1000),0.0001,C53)</f>
        <v>2.202448533333333</v>
      </c>
      <c r="D59" t="s">
        <v>17</v>
      </c>
      <c r="E59" s="198">
        <f>'Ceny składowe'!C6</f>
        <v>4.3</v>
      </c>
      <c r="F59" s="198">
        <f t="shared" ref="F59:F65" si="2">C59*E59</f>
        <v>9.4705286933333319</v>
      </c>
    </row>
    <row r="60" spans="1:14">
      <c r="A60" s="49" t="s">
        <v>246</v>
      </c>
      <c r="B60" t="s">
        <v>472</v>
      </c>
      <c r="C60" s="86">
        <f>IF(OR(C42&gt;1000,C43&gt;1000),C54,0.0001)</f>
        <v>1E-4</v>
      </c>
      <c r="D60" t="s">
        <v>17</v>
      </c>
      <c r="E60" s="198">
        <f>'Ceny składowe'!C7</f>
        <v>4.2</v>
      </c>
      <c r="F60" s="198">
        <f t="shared" si="2"/>
        <v>4.2000000000000002E-4</v>
      </c>
      <c r="I60" s="54" t="s">
        <v>100</v>
      </c>
      <c r="J60" s="13" t="s">
        <v>4</v>
      </c>
      <c r="K60" s="143" t="s">
        <v>5</v>
      </c>
      <c r="L60" s="54"/>
      <c r="M60" s="54" t="s">
        <v>6</v>
      </c>
      <c r="N60" s="54" t="s">
        <v>312</v>
      </c>
    </row>
    <row r="61" spans="1:14">
      <c r="A61" s="49" t="s">
        <v>149</v>
      </c>
      <c r="B61" t="s">
        <v>509</v>
      </c>
      <c r="C61" s="86">
        <f>C49</f>
        <v>9.2450000000000004E-2</v>
      </c>
      <c r="D61" t="s">
        <v>19</v>
      </c>
      <c r="E61" s="198">
        <f>'Ceny składowe'!C42</f>
        <v>17.2</v>
      </c>
      <c r="F61" s="198">
        <f t="shared" si="2"/>
        <v>1.5901400000000001</v>
      </c>
      <c r="I61" s="49" t="s">
        <v>176</v>
      </c>
      <c r="J61" t="s">
        <v>471</v>
      </c>
      <c r="K61" s="86">
        <f>IF(OR(K42&gt;1000,K43&gt;1000),0.0001,K56)</f>
        <v>10.231199999999999</v>
      </c>
      <c r="L61" t="s">
        <v>17</v>
      </c>
      <c r="M61" s="198">
        <f>'Ceny składowe'!C6</f>
        <v>4.3</v>
      </c>
      <c r="N61" s="198">
        <f t="shared" ref="N61:N67" si="3">K61*M61</f>
        <v>43.994159999999994</v>
      </c>
    </row>
    <row r="62" spans="1:14">
      <c r="A62" s="49" t="s">
        <v>334</v>
      </c>
      <c r="B62" t="s">
        <v>505</v>
      </c>
      <c r="C62" s="86">
        <f>IF(OR(C42&gt;1000,C43&gt;1000),0.0001,C50)</f>
        <v>0.86</v>
      </c>
      <c r="D62" t="s">
        <v>2</v>
      </c>
      <c r="E62" s="198">
        <f>'Ceny składowe'!C34</f>
        <v>1.89</v>
      </c>
      <c r="F62" s="198">
        <f t="shared" si="2"/>
        <v>1.6254</v>
      </c>
      <c r="I62" s="49" t="s">
        <v>246</v>
      </c>
      <c r="J62" t="s">
        <v>472</v>
      </c>
      <c r="K62" s="86">
        <f>IF(OR(K42&gt;1000,K43&gt;1000),K57,0.0001)+K51*6.4</f>
        <v>2.0161000000000002</v>
      </c>
      <c r="L62" t="s">
        <v>17</v>
      </c>
      <c r="M62" s="198">
        <f>'Ceny składowe'!C7</f>
        <v>4.2</v>
      </c>
      <c r="N62" s="198">
        <f t="shared" si="3"/>
        <v>8.4676200000000019</v>
      </c>
    </row>
    <row r="63" spans="1:14">
      <c r="A63" s="49" t="s">
        <v>406</v>
      </c>
      <c r="B63" t="s">
        <v>506</v>
      </c>
      <c r="C63" s="86">
        <f>IF(OR(C42&gt;1000,C43&gt;1000),C50,0.0001)</f>
        <v>1E-4</v>
      </c>
      <c r="D63" t="s">
        <v>2</v>
      </c>
      <c r="E63" s="198">
        <f>'Ceny składowe'!C36</f>
        <v>2.92</v>
      </c>
      <c r="F63" s="198">
        <f t="shared" si="2"/>
        <v>2.92E-4</v>
      </c>
      <c r="I63" s="49" t="s">
        <v>149</v>
      </c>
      <c r="J63" t="s">
        <v>509</v>
      </c>
      <c r="K63" s="86">
        <f>K52</f>
        <v>0.216225</v>
      </c>
      <c r="L63" t="s">
        <v>19</v>
      </c>
      <c r="M63" s="198">
        <f>'Ceny składowe'!C42</f>
        <v>17.2</v>
      </c>
      <c r="N63" s="198">
        <f t="shared" si="3"/>
        <v>3.7190699999999999</v>
      </c>
    </row>
    <row r="64" spans="1:14">
      <c r="A64" s="49" t="s">
        <v>337</v>
      </c>
      <c r="B64" t="s">
        <v>507</v>
      </c>
      <c r="C64" s="86">
        <f>IF(OR(C42&gt;1000,C43&gt;1000),0.0001,4)</f>
        <v>4</v>
      </c>
      <c r="D64" s="49" t="s">
        <v>64</v>
      </c>
      <c r="E64" s="198">
        <f>'Ceny składowe'!C20</f>
        <v>0.27</v>
      </c>
      <c r="F64" s="198">
        <f t="shared" si="2"/>
        <v>1.08</v>
      </c>
      <c r="I64" s="49" t="s">
        <v>334</v>
      </c>
      <c r="J64" t="s">
        <v>505</v>
      </c>
      <c r="K64" s="86">
        <f>IF(OR(K42&gt;1000,K43&gt;1000),0.0001,K53)</f>
        <v>1.6</v>
      </c>
      <c r="L64" t="s">
        <v>2</v>
      </c>
      <c r="M64" s="198">
        <f>'Ceny składowe'!C34</f>
        <v>1.89</v>
      </c>
      <c r="N64" s="198">
        <f t="shared" si="3"/>
        <v>3.024</v>
      </c>
    </row>
    <row r="65" spans="1:17">
      <c r="A65" s="5" t="s">
        <v>336</v>
      </c>
      <c r="B65" t="s">
        <v>508</v>
      </c>
      <c r="C65" s="86">
        <f>IF(OR(C42&gt;1000,C43&gt;1000),4,0.0001)</f>
        <v>1E-4</v>
      </c>
      <c r="D65" s="49" t="s">
        <v>64</v>
      </c>
      <c r="E65" s="198">
        <f>'Ceny składowe'!C22</f>
        <v>0.75</v>
      </c>
      <c r="F65" s="198">
        <f t="shared" si="2"/>
        <v>7.5000000000000007E-5</v>
      </c>
      <c r="I65" s="49" t="s">
        <v>406</v>
      </c>
      <c r="J65" t="s">
        <v>506</v>
      </c>
      <c r="K65" s="86">
        <f>IF(OR(K42&gt;1000,K43&gt;1000),K53,0.0001)</f>
        <v>1E-4</v>
      </c>
      <c r="L65" t="s">
        <v>2</v>
      </c>
      <c r="M65" s="198">
        <f>'Ceny składowe'!C36</f>
        <v>2.92</v>
      </c>
      <c r="N65" s="198">
        <f t="shared" si="3"/>
        <v>2.92E-4</v>
      </c>
    </row>
    <row r="66" spans="1:17">
      <c r="A66" s="49"/>
      <c r="E66" s="2"/>
      <c r="F66" s="2"/>
      <c r="I66" s="49" t="s">
        <v>337</v>
      </c>
      <c r="J66" t="s">
        <v>507</v>
      </c>
      <c r="K66" s="86">
        <f>IF(OR(K42&gt;1000,K43&gt;1000),0.0001,4)</f>
        <v>4</v>
      </c>
      <c r="L66" s="49" t="s">
        <v>64</v>
      </c>
      <c r="M66" s="198">
        <f>'Ceny składowe'!C20</f>
        <v>0.27</v>
      </c>
      <c r="N66" s="198">
        <f t="shared" si="3"/>
        <v>1.08</v>
      </c>
    </row>
    <row r="67" spans="1:17">
      <c r="I67" s="5" t="s">
        <v>336</v>
      </c>
      <c r="J67" t="s">
        <v>508</v>
      </c>
      <c r="K67" s="86">
        <f>IF(OR(K42&gt;1000,K43&gt;1000),4,0.0001)</f>
        <v>1E-4</v>
      </c>
      <c r="L67" s="49" t="s">
        <v>64</v>
      </c>
      <c r="M67" s="198">
        <f>'Ceny składowe'!C22</f>
        <v>0.75</v>
      </c>
      <c r="N67" s="198">
        <f t="shared" si="3"/>
        <v>7.5000000000000007E-5</v>
      </c>
    </row>
    <row r="68" spans="1:17">
      <c r="E68" s="1" t="s">
        <v>313</v>
      </c>
      <c r="F68" s="199">
        <f>SUM(F59:F67)</f>
        <v>13.766855693333332</v>
      </c>
      <c r="I68" s="5" t="s">
        <v>566</v>
      </c>
      <c r="J68" t="s">
        <v>573</v>
      </c>
      <c r="K68" s="86">
        <f>(((K42+50)/240)+((K43+50)/240))*2/500</f>
        <v>1.4999999999999999E-2</v>
      </c>
      <c r="L68" s="49" t="s">
        <v>17</v>
      </c>
      <c r="M68" s="198">
        <f>'Ceny składowe'!C72</f>
        <v>8.5</v>
      </c>
      <c r="N68" s="198">
        <f t="shared" ref="N68:N73" si="4">K68*M68</f>
        <v>0.1275</v>
      </c>
    </row>
    <row r="69" spans="1:17">
      <c r="I69" s="49" t="s">
        <v>567</v>
      </c>
      <c r="J69" t="s">
        <v>574</v>
      </c>
      <c r="K69">
        <f>EVEN(Q69)</f>
        <v>8</v>
      </c>
      <c r="L69" s="49" t="s">
        <v>64</v>
      </c>
      <c r="M69" s="198">
        <f>'Ceny składowe'!C73</f>
        <v>0.25</v>
      </c>
      <c r="N69" s="198">
        <f t="shared" si="4"/>
        <v>2</v>
      </c>
      <c r="P69" s="309">
        <f>((((K42+50)/250)+((K43+50)/250))*2)</f>
        <v>7.2</v>
      </c>
      <c r="Q69" s="309">
        <f>INT(P69)</f>
        <v>7</v>
      </c>
    </row>
    <row r="70" spans="1:17">
      <c r="E70" s="125" t="s">
        <v>293</v>
      </c>
      <c r="F70" s="199">
        <f>F68*9</f>
        <v>123.90170123999998</v>
      </c>
      <c r="I70" s="49" t="s">
        <v>568</v>
      </c>
      <c r="J70" t="s">
        <v>575</v>
      </c>
      <c r="K70" s="86">
        <f>(((K42+50)/240)+((K43+50)/240))*2/453</f>
        <v>1.6556291390728478E-2</v>
      </c>
      <c r="L70" s="49" t="s">
        <v>17</v>
      </c>
      <c r="M70" s="195">
        <f>'Ceny składowe'!C74</f>
        <v>9</v>
      </c>
      <c r="N70" s="195">
        <f t="shared" si="4"/>
        <v>0.1490066225165563</v>
      </c>
    </row>
    <row r="71" spans="1:17">
      <c r="E71" s="54" t="s">
        <v>294</v>
      </c>
      <c r="F71" s="120">
        <f>(F70-F68)/F68</f>
        <v>8</v>
      </c>
      <c r="I71" s="49" t="s">
        <v>569</v>
      </c>
      <c r="J71" t="s">
        <v>577</v>
      </c>
      <c r="K71" s="86">
        <f>(((K42+50)/240)+((K43+50)/240))*2/107</f>
        <v>7.0093457943925228E-2</v>
      </c>
      <c r="L71" s="49" t="s">
        <v>17</v>
      </c>
      <c r="M71" s="195">
        <f>'Ceny składowe'!C75</f>
        <v>9.9</v>
      </c>
      <c r="N71" s="195">
        <f t="shared" si="4"/>
        <v>0.69392523364485981</v>
      </c>
    </row>
    <row r="72" spans="1:17">
      <c r="I72" s="49" t="s">
        <v>570</v>
      </c>
      <c r="J72" t="s">
        <v>579</v>
      </c>
      <c r="K72">
        <v>1</v>
      </c>
      <c r="L72" s="49" t="s">
        <v>64</v>
      </c>
      <c r="M72" s="195">
        <f>'Ceny składowe'!C76</f>
        <v>1.41</v>
      </c>
      <c r="N72" s="195">
        <f t="shared" si="4"/>
        <v>1.41</v>
      </c>
    </row>
    <row r="73" spans="1:17">
      <c r="I73" s="49" t="s">
        <v>543</v>
      </c>
      <c r="J73" t="s">
        <v>582</v>
      </c>
      <c r="K73" s="84">
        <f>(((K47-100)*2)/50)/570</f>
        <v>2.456140350877193E-2</v>
      </c>
      <c r="L73" s="49" t="s">
        <v>17</v>
      </c>
      <c r="M73" s="195">
        <f>'Ceny składowe'!C58</f>
        <v>17.899999999999999</v>
      </c>
      <c r="N73" s="195">
        <f t="shared" si="4"/>
        <v>0.43964912280701751</v>
      </c>
    </row>
    <row r="75" spans="1:17">
      <c r="M75" s="1" t="s">
        <v>313</v>
      </c>
      <c r="N75" s="199">
        <f>SUM(N61:N74)</f>
        <v>65.105297978968437</v>
      </c>
    </row>
    <row r="77" spans="1:17">
      <c r="M77" s="125" t="s">
        <v>293</v>
      </c>
      <c r="N77" s="199">
        <f>(_xlfn.IFS(K42&gt;=1000, 3.1, K42&gt;=900, 3.4, K42&gt;=800, 3.7, K42&gt;=700, 4, K42&gt;=600, 4.3, K42&gt;=500, 4.6, K42&gt;=400, 5, K42&gt;=300, 5.5, K42&gt;=200, 6, K42&lt;200, 6.5) + _xlfn.IFS(K43&gt;=1000, 3.1, K43&gt;=900, 3.4, K43&gt;=800, 3.7, K43&gt;=700, 4, K43&gt;=600, 4.3, K43&gt;=500, 4.6, K43&gt;=400, 5, K43&gt;=300, 5.5, K43&gt;=200, 6, K43&lt;200, 6.5)) * N75</f>
        <v>651.0529797896844</v>
      </c>
    </row>
    <row r="78" spans="1:17">
      <c r="M78" s="54" t="s">
        <v>294</v>
      </c>
      <c r="N78" s="120">
        <f>(N77-N81)/N81</f>
        <v>3.366397362228648</v>
      </c>
    </row>
    <row r="80" spans="1:17">
      <c r="A80" s="73" t="s">
        <v>840</v>
      </c>
      <c r="J80" s="236" t="s">
        <v>411</v>
      </c>
      <c r="K80" s="237">
        <f>IF(K42&lt;500,120,IF(K42&lt;1000,180,IF(K42&gt;=1000,240)))</f>
        <v>120</v>
      </c>
      <c r="L80" s="237" t="s">
        <v>412</v>
      </c>
      <c r="M80" s="239">
        <f>'Ceny składowe'!C94</f>
        <v>0.7</v>
      </c>
      <c r="N80" s="238">
        <f>K80*M80</f>
        <v>84</v>
      </c>
    </row>
    <row r="81" spans="2:14">
      <c r="J81" s="159"/>
      <c r="K81" s="74"/>
      <c r="L81" s="74"/>
      <c r="M81" s="237" t="s">
        <v>413</v>
      </c>
      <c r="N81" s="240">
        <f>N75+N80</f>
        <v>149.10529797896845</v>
      </c>
    </row>
    <row r="83" spans="2:14">
      <c r="B83" s="92" t="s">
        <v>131</v>
      </c>
      <c r="C83">
        <f>'Cennik Produkcja '!D404</f>
        <v>100</v>
      </c>
      <c r="D83" t="s">
        <v>27</v>
      </c>
    </row>
    <row r="84" spans="2:14">
      <c r="B84" s="92" t="s">
        <v>26</v>
      </c>
      <c r="C84">
        <f>E85+E87+150</f>
        <v>400</v>
      </c>
      <c r="D84" t="s">
        <v>27</v>
      </c>
      <c r="E84" t="s">
        <v>836</v>
      </c>
      <c r="F84" s="1" t="s">
        <v>838</v>
      </c>
    </row>
    <row r="85" spans="2:14">
      <c r="B85" s="92" t="s">
        <v>834</v>
      </c>
      <c r="C85">
        <f>IF(C83&lt;=125,C87,IF(C83&lt;=160,C87+5,IF(C83&lt;=200,C87+15,IF(C83&lt;=250,C87+25,IF(C83&lt;=315,C87+45,IF(C83&lt;=355,C87+55,IF(C83&lt;=400,C87+65,IF(C83&lt;=450,C87+80,IF(C83&lt;=500,C87+95,IF(C83&lt;=560,C87+105,IF(C83&lt;=630,C87+115)))))))))))</f>
        <v>155</v>
      </c>
      <c r="D85" t="s">
        <v>27</v>
      </c>
      <c r="E85" s="1">
        <f>IF(C83&lt;=125,100,IF(C83&lt;=160,150,IF(C83&lt;=200,175,IF(C83&lt;=250,200,IF(C83&lt;=315,250,IF(C83&lt;=355,275,IF(C83&lt;=400,300,IF(C83&lt;=450,325,IF(C83&lt;=500,335,IF(C83&lt;=560,385,IF(C83&lt;=630,435)))))))))))</f>
        <v>100</v>
      </c>
      <c r="F85" s="74">
        <f>(((PI()*(C85/2 + C86/2) + 30) * SQRT(E85^2 + (C85/2 - C86/2)^2)) / 1000000) * 1.05</f>
        <v>6.3243968908311757E-2</v>
      </c>
      <c r="G85" t="s">
        <v>19</v>
      </c>
    </row>
    <row r="86" spans="2:14">
      <c r="B86" s="92" t="s">
        <v>832</v>
      </c>
      <c r="C86">
        <f>C83*2</f>
        <v>200</v>
      </c>
      <c r="D86" t="s">
        <v>27</v>
      </c>
      <c r="E86" t="s">
        <v>837</v>
      </c>
      <c r="F86" s="1" t="s">
        <v>839</v>
      </c>
    </row>
    <row r="87" spans="2:14" ht="15" thickBot="1">
      <c r="B87" s="92" t="s">
        <v>833</v>
      </c>
      <c r="C87">
        <f>C83+55</f>
        <v>155</v>
      </c>
      <c r="D87" t="s">
        <v>27</v>
      </c>
      <c r="E87" s="1">
        <f>E85+50</f>
        <v>150</v>
      </c>
      <c r="F87" s="74">
        <f>(((PI()*(C87/2 + C86/2) + 30) * SQRT(E87^2 + (C87/2 - C86/2)^2)) / 1000000) * 1.05</f>
        <v>9.3587569466409698E-2</v>
      </c>
      <c r="G87" t="s">
        <v>19</v>
      </c>
    </row>
    <row r="88" spans="2:14">
      <c r="B88" s="92" t="s">
        <v>841</v>
      </c>
      <c r="C88">
        <f>IF(C83&lt;=250,C85+20,IF(C83&lt;=315,C85+35,IF(C83&lt;=355,C85+45,IF(C83&lt;=400,C85+60,IF(C83&lt;=450,C85+80,IF(C83&lt;=630,C85+100))))))</f>
        <v>175</v>
      </c>
      <c r="D88" t="s">
        <v>27</v>
      </c>
      <c r="E88" s="436" t="s">
        <v>238</v>
      </c>
      <c r="F88" s="437" t="s">
        <v>849</v>
      </c>
    </row>
    <row r="89" spans="2:14">
      <c r="B89" s="92" t="s">
        <v>135</v>
      </c>
      <c r="C89">
        <f>IF(C83&lt;=200,C85+10,IF(C83&lt;=355,C85+15,IF(C83&lt;=400,C85+20,IF(C83&lt;=500,C85+25,IF(C83&lt;=630,C85+30)))))</f>
        <v>165</v>
      </c>
      <c r="D89" t="s">
        <v>27</v>
      </c>
      <c r="E89" s="438">
        <v>100</v>
      </c>
      <c r="F89" s="439">
        <v>300</v>
      </c>
    </row>
    <row r="90" spans="2:14">
      <c r="E90" s="438">
        <v>125</v>
      </c>
      <c r="F90" s="439">
        <v>280</v>
      </c>
    </row>
    <row r="91" spans="2:14">
      <c r="B91" s="92" t="s">
        <v>559</v>
      </c>
      <c r="C91" s="86">
        <f>F85+F87</f>
        <v>0.15683153837472147</v>
      </c>
      <c r="D91" t="s">
        <v>19</v>
      </c>
      <c r="E91" s="438">
        <v>160</v>
      </c>
      <c r="F91" s="439">
        <v>360</v>
      </c>
    </row>
    <row r="92" spans="2:14">
      <c r="B92" s="92" t="s">
        <v>580</v>
      </c>
      <c r="C92" s="86">
        <f>(C83*314)*215/100000000</f>
        <v>6.7510000000000001E-2</v>
      </c>
      <c r="D92" t="s">
        <v>19</v>
      </c>
      <c r="E92" s="438">
        <v>200</v>
      </c>
      <c r="F92" s="439">
        <v>410</v>
      </c>
    </row>
    <row r="93" spans="2:14">
      <c r="B93" s="92" t="s">
        <v>581</v>
      </c>
      <c r="C93" s="86">
        <f>PI()*(C88/2)^2 * 1.05/1000000</f>
        <v>2.5255459691749197E-2</v>
      </c>
      <c r="D93" t="s">
        <v>19</v>
      </c>
      <c r="E93" s="438">
        <v>250</v>
      </c>
      <c r="F93" s="439">
        <v>450</v>
      </c>
    </row>
    <row r="94" spans="2:14">
      <c r="B94" s="92" t="s">
        <v>842</v>
      </c>
      <c r="C94">
        <f>(50*130)*4/1000000</f>
        <v>2.5999999999999999E-2</v>
      </c>
      <c r="D94" t="s">
        <v>19</v>
      </c>
      <c r="E94" s="438">
        <v>315</v>
      </c>
      <c r="F94" s="439">
        <v>680</v>
      </c>
    </row>
    <row r="95" spans="2:14">
      <c r="B95" s="92" t="s">
        <v>310</v>
      </c>
      <c r="C95" s="86">
        <f>PI()*(C89/2)^2 * 1.05/1000000</f>
        <v>2.2451588248420307E-2</v>
      </c>
      <c r="D95" t="s">
        <v>19</v>
      </c>
      <c r="E95" s="438">
        <v>355</v>
      </c>
      <c r="F95" s="439">
        <v>760</v>
      </c>
    </row>
    <row r="96" spans="2:14">
      <c r="B96" s="92"/>
      <c r="C96" s="86"/>
      <c r="E96" s="438">
        <v>400</v>
      </c>
      <c r="F96" s="439">
        <v>910</v>
      </c>
    </row>
    <row r="97" spans="1:6">
      <c r="B97" s="92" t="s">
        <v>127</v>
      </c>
      <c r="C97" s="86">
        <f>SUM(C91:C94)</f>
        <v>0.2755969980664707</v>
      </c>
      <c r="D97" t="s">
        <v>19</v>
      </c>
      <c r="E97" s="438">
        <v>450</v>
      </c>
      <c r="F97" s="439">
        <v>1062.8499999999999</v>
      </c>
    </row>
    <row r="98" spans="1:6">
      <c r="B98" s="92"/>
      <c r="C98" s="86"/>
      <c r="E98" s="438">
        <v>500</v>
      </c>
      <c r="F98" s="439">
        <v>1294.77</v>
      </c>
    </row>
    <row r="99" spans="1:6">
      <c r="B99" s="92"/>
      <c r="C99" s="86"/>
      <c r="E99" s="438">
        <v>550</v>
      </c>
      <c r="F99" s="439">
        <v>1800</v>
      </c>
    </row>
    <row r="100" spans="1:6" ht="15" thickBot="1">
      <c r="E100" s="440">
        <v>630</v>
      </c>
      <c r="F100" s="441">
        <v>2157.1</v>
      </c>
    </row>
    <row r="101" spans="1:6">
      <c r="A101" s="54" t="s">
        <v>100</v>
      </c>
      <c r="B101" s="13" t="s">
        <v>4</v>
      </c>
      <c r="C101" s="143" t="s">
        <v>5</v>
      </c>
      <c r="D101" s="54"/>
      <c r="E101" s="54" t="s">
        <v>6</v>
      </c>
      <c r="F101" s="54" t="s">
        <v>312</v>
      </c>
    </row>
    <row r="102" spans="1:6">
      <c r="A102" s="49" t="s">
        <v>176</v>
      </c>
      <c r="B102" t="s">
        <v>471</v>
      </c>
      <c r="C102" s="86">
        <f>C97*4.8</f>
        <v>1.3228655907190594</v>
      </c>
      <c r="D102" t="s">
        <v>17</v>
      </c>
      <c r="E102" s="195">
        <f>'Ceny składowe'!C6</f>
        <v>4.3</v>
      </c>
      <c r="F102" s="195">
        <f>C102*E102</f>
        <v>5.688322040091955</v>
      </c>
    </row>
    <row r="103" spans="1:6">
      <c r="A103" s="49" t="s">
        <v>968</v>
      </c>
      <c r="B103" t="s">
        <v>835</v>
      </c>
      <c r="C103" s="86">
        <f>C95/3.125</f>
        <v>7.1845082394944981E-3</v>
      </c>
      <c r="D103" t="s">
        <v>10</v>
      </c>
      <c r="E103" s="195">
        <f>'Ceny składowe'!C67</f>
        <v>100</v>
      </c>
      <c r="F103" s="195">
        <f t="shared" ref="F103:F108" si="5">C103*E103</f>
        <v>0.71845082394944981</v>
      </c>
    </row>
    <row r="104" spans="1:6">
      <c r="A104" s="5" t="s">
        <v>566</v>
      </c>
      <c r="B104" t="s">
        <v>573</v>
      </c>
      <c r="C104">
        <v>9.6399999999999993E-3</v>
      </c>
      <c r="D104" t="s">
        <v>17</v>
      </c>
      <c r="E104" s="195">
        <f>'Ceny składowe'!C72</f>
        <v>8.5</v>
      </c>
      <c r="F104" s="195">
        <f t="shared" si="5"/>
        <v>8.1939999999999999E-2</v>
      </c>
    </row>
    <row r="105" spans="1:6">
      <c r="A105" s="49" t="s">
        <v>567</v>
      </c>
      <c r="B105" t="s">
        <v>574</v>
      </c>
      <c r="C105">
        <v>4</v>
      </c>
      <c r="D105" t="s">
        <v>10</v>
      </c>
      <c r="E105" s="195">
        <f>'Ceny składowe'!C73</f>
        <v>0.25</v>
      </c>
      <c r="F105" s="195">
        <f t="shared" si="5"/>
        <v>1</v>
      </c>
    </row>
    <row r="106" spans="1:6">
      <c r="A106" s="49" t="s">
        <v>568</v>
      </c>
      <c r="B106" t="s">
        <v>575</v>
      </c>
      <c r="C106">
        <v>4.0800000000000003E-3</v>
      </c>
      <c r="D106" t="s">
        <v>17</v>
      </c>
      <c r="E106" s="195">
        <f>'Ceny składowe'!C74</f>
        <v>9</v>
      </c>
      <c r="F106" s="195">
        <f t="shared" si="5"/>
        <v>3.6720000000000003E-2</v>
      </c>
    </row>
    <row r="107" spans="1:6">
      <c r="A107" s="49" t="s">
        <v>569</v>
      </c>
      <c r="B107" t="s">
        <v>577</v>
      </c>
      <c r="C107">
        <v>4.0800000000000003E-2</v>
      </c>
      <c r="D107" t="s">
        <v>17</v>
      </c>
      <c r="E107" s="195">
        <f>'Ceny składowe'!C75</f>
        <v>9.9</v>
      </c>
      <c r="F107" s="195">
        <f t="shared" si="5"/>
        <v>0.40392000000000006</v>
      </c>
    </row>
    <row r="108" spans="1:6">
      <c r="A108" s="49" t="s">
        <v>206</v>
      </c>
      <c r="B108" t="s">
        <v>831</v>
      </c>
      <c r="C108">
        <v>4</v>
      </c>
      <c r="D108" t="s">
        <v>10</v>
      </c>
      <c r="E108" s="195">
        <f>'Ceny składowe'!C25</f>
        <v>0.16</v>
      </c>
      <c r="F108" s="195">
        <f t="shared" si="5"/>
        <v>0.64</v>
      </c>
    </row>
    <row r="109" spans="1:6">
      <c r="F109" s="1"/>
    </row>
    <row r="110" spans="1:6">
      <c r="E110" s="1" t="s">
        <v>313</v>
      </c>
      <c r="F110" s="198">
        <f>SUM(F102:F108)</f>
        <v>8.5693528640414058</v>
      </c>
    </row>
    <row r="111" spans="1:6">
      <c r="F111" s="1"/>
    </row>
    <row r="112" spans="1:6">
      <c r="E112" s="125" t="s">
        <v>293</v>
      </c>
      <c r="F112" s="198">
        <f>VLOOKUP(C83, E89:F100, 2, FALSE)</f>
        <v>300</v>
      </c>
    </row>
    <row r="113" spans="1:6">
      <c r="E113" s="54" t="s">
        <v>294</v>
      </c>
      <c r="F113" s="120"/>
    </row>
    <row r="115" spans="1:6">
      <c r="A115" s="236"/>
      <c r="B115" s="236" t="s">
        <v>411</v>
      </c>
      <c r="C115" s="237">
        <f>IF(C76&lt;500,120,IF(C76&lt;1000,180,IF(C76&gt;=1000,240)))</f>
        <v>120</v>
      </c>
      <c r="D115" s="237" t="s">
        <v>412</v>
      </c>
      <c r="E115" s="239" t="e">
        <f>'Ceny składowe'!#REF!</f>
        <v>#REF!</v>
      </c>
      <c r="F115" s="238" t="e">
        <f>C115*E115</f>
        <v>#REF!</v>
      </c>
    </row>
    <row r="116" spans="1:6">
      <c r="A116" s="159"/>
      <c r="B116" s="159"/>
      <c r="C116" s="74"/>
      <c r="D116" s="74"/>
      <c r="E116" s="237" t="s">
        <v>413</v>
      </c>
      <c r="F116" s="240" t="e">
        <f>F110+F115</f>
        <v>#REF!</v>
      </c>
    </row>
  </sheetData>
  <pageMargins left="0.7" right="0.7" top="0.75" bottom="0.75" header="0.3" footer="0.3"/>
  <pageSetup paperSize="256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Q64"/>
  <sheetViews>
    <sheetView topLeftCell="B1" workbookViewId="0">
      <selection activeCell="F31" sqref="F31"/>
    </sheetView>
  </sheetViews>
  <sheetFormatPr defaultRowHeight="14.4"/>
  <cols>
    <col min="1" max="1" width="24.88671875" customWidth="1"/>
    <col min="2" max="2" width="31.6640625" customWidth="1"/>
    <col min="3" max="3" width="17.88671875" customWidth="1"/>
    <col min="4" max="4" width="13.6640625" bestFit="1" customWidth="1"/>
    <col min="5" max="5" width="12.33203125" customWidth="1"/>
    <col min="6" max="6" width="14.33203125" customWidth="1"/>
    <col min="7" max="7" width="11.44140625" customWidth="1"/>
    <col min="11" max="11" width="26.109375" customWidth="1"/>
    <col min="12" max="12" width="14.44140625" customWidth="1"/>
    <col min="14" max="14" width="9.5546875" bestFit="1" customWidth="1"/>
    <col min="15" max="15" width="21.6640625" customWidth="1"/>
    <col min="16" max="16" width="10.88671875" bestFit="1" customWidth="1"/>
  </cols>
  <sheetData>
    <row r="3" spans="2:17">
      <c r="B3" s="73" t="s">
        <v>272</v>
      </c>
      <c r="K3" s="73" t="s">
        <v>292</v>
      </c>
    </row>
    <row r="6" spans="2:17">
      <c r="B6" t="s">
        <v>110</v>
      </c>
      <c r="C6">
        <f>'Cennik Produkcja '!D251</f>
        <v>410</v>
      </c>
      <c r="D6" t="s">
        <v>2</v>
      </c>
      <c r="K6" t="s">
        <v>274</v>
      </c>
      <c r="L6">
        <f>'Cennik Produkcja '!$D$235</f>
        <v>800</v>
      </c>
      <c r="M6" t="s">
        <v>2</v>
      </c>
    </row>
    <row r="7" spans="2:17">
      <c r="B7" t="s">
        <v>111</v>
      </c>
      <c r="C7">
        <f>'Cennik Produkcja '!E251</f>
        <v>410</v>
      </c>
      <c r="D7" t="s">
        <v>2</v>
      </c>
      <c r="K7" t="s">
        <v>275</v>
      </c>
      <c r="L7">
        <f>'Cennik Produkcja '!$E$235</f>
        <v>500</v>
      </c>
      <c r="M7" t="s">
        <v>2</v>
      </c>
    </row>
    <row r="8" spans="2:17">
      <c r="B8" t="s">
        <v>153</v>
      </c>
      <c r="C8">
        <f>'Cennik Produkcja '!D249</f>
        <v>315</v>
      </c>
      <c r="D8" t="s">
        <v>2</v>
      </c>
      <c r="K8" t="s">
        <v>276</v>
      </c>
      <c r="L8">
        <f>L6+360</f>
        <v>1160</v>
      </c>
      <c r="M8" t="s">
        <v>2</v>
      </c>
    </row>
    <row r="9" spans="2:17">
      <c r="B9" t="s">
        <v>154</v>
      </c>
      <c r="C9">
        <f>'Cennik Produkcja '!E249</f>
        <v>200</v>
      </c>
      <c r="D9" t="s">
        <v>27</v>
      </c>
      <c r="K9" t="s">
        <v>277</v>
      </c>
      <c r="L9">
        <f>L7+360</f>
        <v>860</v>
      </c>
      <c r="M9" t="s">
        <v>2</v>
      </c>
    </row>
    <row r="10" spans="2:17">
      <c r="B10" t="s">
        <v>155</v>
      </c>
      <c r="C10">
        <v>50</v>
      </c>
      <c r="D10" t="s">
        <v>27</v>
      </c>
      <c r="K10" t="s">
        <v>278</v>
      </c>
      <c r="L10">
        <f>'Cennik Produkcja '!D237</f>
        <v>1500</v>
      </c>
      <c r="M10" t="s">
        <v>2</v>
      </c>
    </row>
    <row r="11" spans="2:17">
      <c r="K11" t="s">
        <v>118</v>
      </c>
      <c r="L11">
        <v>0.05</v>
      </c>
      <c r="M11" t="s">
        <v>2</v>
      </c>
    </row>
    <row r="12" spans="2:17">
      <c r="B12" t="s">
        <v>156</v>
      </c>
      <c r="C12" s="70">
        <f>((C6*C7)-(((C8/2)*(C8/2))*3.14))/1000000</f>
        <v>9.0208374999999993E-2</v>
      </c>
      <c r="D12" t="s">
        <v>19</v>
      </c>
    </row>
    <row r="13" spans="2:17">
      <c r="B13" t="s">
        <v>758</v>
      </c>
      <c r="C13" s="70">
        <f>(C8*3.14)*100/1000000+0.025</f>
        <v>0.12390999999999999</v>
      </c>
      <c r="D13" t="s">
        <v>19</v>
      </c>
      <c r="K13" t="s">
        <v>156</v>
      </c>
      <c r="L13" s="70">
        <f>((L8*L9)-(L6*L7))/1000000</f>
        <v>0.59760000000000002</v>
      </c>
      <c r="O13" t="s">
        <v>280</v>
      </c>
      <c r="P13" s="70">
        <f>L13+L15</f>
        <v>0.61780000000000002</v>
      </c>
      <c r="Q13" t="s">
        <v>19</v>
      </c>
    </row>
    <row r="14" spans="2:17">
      <c r="B14" t="s">
        <v>157</v>
      </c>
      <c r="C14" s="70">
        <f>((C8*3.14)*C9)/1000000</f>
        <v>0.19782</v>
      </c>
      <c r="D14" t="s">
        <v>19</v>
      </c>
      <c r="O14" t="s">
        <v>50</v>
      </c>
      <c r="P14" s="70">
        <f>(((L6+L7+L6+L7)*L10)/1000000)+0.0001</f>
        <v>3.9001000000000001</v>
      </c>
      <c r="Q14" t="s">
        <v>19</v>
      </c>
    </row>
    <row r="15" spans="2:17">
      <c r="B15" t="s">
        <v>158</v>
      </c>
      <c r="C15" s="70">
        <f>((C6+C7+C6+C7)*C10)/1000000</f>
        <v>8.2000000000000003E-2</v>
      </c>
      <c r="D15" t="s">
        <v>19</v>
      </c>
      <c r="K15" t="s">
        <v>158</v>
      </c>
      <c r="L15" s="70">
        <f>((L8+L9+L8+L9)*L11)/10000</f>
        <v>2.0199999999999999E-2</v>
      </c>
      <c r="M15" t="s">
        <v>19</v>
      </c>
    </row>
    <row r="16" spans="2:17">
      <c r="K16" t="s">
        <v>120</v>
      </c>
      <c r="L16" s="70">
        <f>((L6+L7+L6+L7)*2)/1000</f>
        <v>5.2</v>
      </c>
      <c r="M16" t="s">
        <v>2</v>
      </c>
    </row>
    <row r="17" spans="1:17">
      <c r="B17" t="s">
        <v>159</v>
      </c>
      <c r="C17" s="70">
        <f>C12+C14+C15</f>
        <v>0.37002837500000002</v>
      </c>
      <c r="D17" t="s">
        <v>19</v>
      </c>
      <c r="K17" t="s">
        <v>144</v>
      </c>
      <c r="L17" s="70">
        <v>8</v>
      </c>
      <c r="M17" t="s">
        <v>64</v>
      </c>
      <c r="O17" t="s">
        <v>291</v>
      </c>
    </row>
    <row r="18" spans="1:17">
      <c r="L18" s="70"/>
      <c r="O18" t="s">
        <v>289</v>
      </c>
      <c r="P18" s="70">
        <f>P14*N22*L23</f>
        <v>18.720479999999998</v>
      </c>
      <c r="Q18" t="s">
        <v>17</v>
      </c>
    </row>
    <row r="19" spans="1:17">
      <c r="B19" t="s">
        <v>145</v>
      </c>
      <c r="C19">
        <v>0.8</v>
      </c>
      <c r="D19">
        <v>0.6</v>
      </c>
      <c r="L19" s="70"/>
      <c r="O19" t="s">
        <v>290</v>
      </c>
      <c r="P19" s="70">
        <f>P13*L22*L23</f>
        <v>3.9539200000000001</v>
      </c>
      <c r="Q19" t="s">
        <v>17</v>
      </c>
    </row>
    <row r="20" spans="1:17">
      <c r="B20" t="s">
        <v>146</v>
      </c>
      <c r="C20">
        <v>8</v>
      </c>
      <c r="K20" t="s">
        <v>159</v>
      </c>
      <c r="L20" s="70">
        <f>L13+P14+L15</f>
        <v>4.5179</v>
      </c>
      <c r="M20" t="s">
        <v>19</v>
      </c>
    </row>
    <row r="22" spans="1:17">
      <c r="B22" t="s">
        <v>147</v>
      </c>
      <c r="C22" s="70">
        <f>C19*C20*C17</f>
        <v>2.3681816000000002</v>
      </c>
      <c r="D22" t="s">
        <v>17</v>
      </c>
      <c r="G22" s="10"/>
      <c r="K22" t="s">
        <v>145</v>
      </c>
      <c r="L22">
        <v>0.8</v>
      </c>
      <c r="M22" t="s">
        <v>27</v>
      </c>
      <c r="N22">
        <v>0.6</v>
      </c>
      <c r="O22" t="s">
        <v>27</v>
      </c>
    </row>
    <row r="23" spans="1:17">
      <c r="C23" s="70">
        <f>C22/1000</f>
        <v>2.3681816000000002E-3</v>
      </c>
      <c r="D23" t="s">
        <v>23</v>
      </c>
      <c r="G23" s="9"/>
      <c r="K23" t="s">
        <v>146</v>
      </c>
      <c r="L23">
        <v>8</v>
      </c>
    </row>
    <row r="24" spans="1:17">
      <c r="G24" s="9"/>
    </row>
    <row r="25" spans="1:17">
      <c r="C25" s="9"/>
      <c r="D25" s="7"/>
      <c r="E25" s="8"/>
      <c r="F25" s="9"/>
      <c r="G25" s="9"/>
      <c r="K25" t="s">
        <v>957</v>
      </c>
      <c r="L25" s="70">
        <f>L20*L22*L23</f>
        <v>28.914560000000002</v>
      </c>
      <c r="M25" t="s">
        <v>17</v>
      </c>
      <c r="N25" s="70"/>
    </row>
    <row r="26" spans="1:17">
      <c r="A26" s="73" t="s">
        <v>100</v>
      </c>
      <c r="B26" s="10" t="s">
        <v>4</v>
      </c>
      <c r="C26" s="10" t="s">
        <v>5</v>
      </c>
      <c r="D26" s="11"/>
      <c r="E26" s="13" t="s">
        <v>6</v>
      </c>
      <c r="F26" s="13" t="s">
        <v>7</v>
      </c>
      <c r="L26" s="70"/>
    </row>
    <row r="27" spans="1:17">
      <c r="A27" t="s">
        <v>176</v>
      </c>
      <c r="B27" t="s">
        <v>127</v>
      </c>
      <c r="C27" s="163">
        <f>(C13+C14)*D19*C20</f>
        <v>1.5443039999999997</v>
      </c>
      <c r="D27" s="6" t="s">
        <v>17</v>
      </c>
      <c r="E27" s="195">
        <f>'Ceny składowe'!C6</f>
        <v>4.3</v>
      </c>
      <c r="F27" s="195">
        <f>E27*C27</f>
        <v>6.6405071999999983</v>
      </c>
    </row>
    <row r="28" spans="1:17">
      <c r="A28" s="100" t="s">
        <v>246</v>
      </c>
      <c r="B28" t="s">
        <v>257</v>
      </c>
      <c r="C28" s="74">
        <f>(C12+C15)*C19*C20</f>
        <v>1.1021335999999999</v>
      </c>
      <c r="D28" s="8" t="s">
        <v>17</v>
      </c>
      <c r="E28" s="195">
        <f>'Ceny składowe'!C7</f>
        <v>4.2</v>
      </c>
      <c r="F28" s="195">
        <f>E28*C28</f>
        <v>4.6289611199999996</v>
      </c>
    </row>
    <row r="29" spans="1:17">
      <c r="D29" s="8"/>
      <c r="E29" s="119" t="s">
        <v>265</v>
      </c>
      <c r="F29" s="195">
        <f>SUM(F27:F28)</f>
        <v>11.269468319999998</v>
      </c>
      <c r="K29" s="54" t="s">
        <v>100</v>
      </c>
      <c r="L29" s="13" t="s">
        <v>4</v>
      </c>
      <c r="M29" s="10" t="s">
        <v>5</v>
      </c>
      <c r="N29" s="51"/>
      <c r="O29" s="10" t="s">
        <v>6</v>
      </c>
      <c r="P29" s="10" t="s">
        <v>7</v>
      </c>
    </row>
    <row r="30" spans="1:17">
      <c r="B30" t="s">
        <v>307</v>
      </c>
      <c r="E30" s="1"/>
      <c r="F30" s="195"/>
      <c r="K30" s="100" t="s">
        <v>246</v>
      </c>
      <c r="L30" s="50" t="s">
        <v>62</v>
      </c>
      <c r="M30" s="74">
        <f>IF(OR(L6&gt;1000,L7&gt;1000),L25,P19)</f>
        <v>3.9539200000000001</v>
      </c>
      <c r="N30" s="49" t="s">
        <v>17</v>
      </c>
      <c r="O30" s="195">
        <f>'Ceny składowe'!C7</f>
        <v>4.2</v>
      </c>
      <c r="P30" s="195">
        <f t="shared" ref="P30:P35" si="0">O30*M30</f>
        <v>16.606464000000003</v>
      </c>
    </row>
    <row r="31" spans="1:17">
      <c r="E31" s="125" t="s">
        <v>293</v>
      </c>
      <c r="F31" s="195">
        <f>IF(C8&lt;125,F29*14.5,IF(C8&lt;160,F29*14.5,IF(C8&lt;200,F29*13.2,IF(C8&lt;250,F29*13.4,IF(C8&lt;315,F29*13.1,IF(C8&lt;400,F29*13.2,IF(C8&gt;=400,F29*15.4)))))))</f>
        <v>148.75698182399995</v>
      </c>
      <c r="K31" s="100" t="s">
        <v>176</v>
      </c>
      <c r="L31" s="50" t="s">
        <v>62</v>
      </c>
      <c r="M31" s="74">
        <f>IF(OR(L6&gt;1000,L7&gt;1000),0.0001,P18)</f>
        <v>18.720479999999998</v>
      </c>
      <c r="N31" s="49" t="s">
        <v>17</v>
      </c>
      <c r="O31" s="195">
        <f>'Ceny składowe'!C6</f>
        <v>4.3</v>
      </c>
      <c r="P31" s="195">
        <f t="shared" si="0"/>
        <v>80.498063999999985</v>
      </c>
    </row>
    <row r="32" spans="1:17">
      <c r="C32" s="5"/>
      <c r="D32" s="6"/>
      <c r="E32" s="54" t="s">
        <v>294</v>
      </c>
      <c r="F32" s="126">
        <f>(F31-F29)/F29</f>
        <v>12.2</v>
      </c>
      <c r="K32" s="49" t="s">
        <v>337</v>
      </c>
      <c r="L32" s="50" t="s">
        <v>21</v>
      </c>
      <c r="M32" s="74">
        <f>IF(OR(L6&gt;1000,L7&gt;1000),0.0001,8)</f>
        <v>8</v>
      </c>
      <c r="N32" s="49" t="s">
        <v>64</v>
      </c>
      <c r="O32" s="195">
        <f>'Ceny składowe'!C20</f>
        <v>0.27</v>
      </c>
      <c r="P32" s="195">
        <f t="shared" si="0"/>
        <v>2.16</v>
      </c>
    </row>
    <row r="33" spans="2:16">
      <c r="C33" s="9"/>
      <c r="D33" s="7"/>
      <c r="E33" s="8"/>
      <c r="F33" s="4"/>
      <c r="G33" s="4"/>
      <c r="K33" s="5" t="s">
        <v>336</v>
      </c>
      <c r="L33" s="50" t="s">
        <v>21</v>
      </c>
      <c r="M33" s="74">
        <f>IF(OR(L6&gt;1000,L7&gt;1000),8,0.0001)</f>
        <v>1E-4</v>
      </c>
      <c r="N33" s="49" t="s">
        <v>2</v>
      </c>
      <c r="O33" s="195">
        <f>'Ceny składowe'!C22</f>
        <v>0.75</v>
      </c>
      <c r="P33" s="195">
        <f t="shared" si="0"/>
        <v>7.5000000000000007E-5</v>
      </c>
    </row>
    <row r="34" spans="2:16">
      <c r="B34" s="73" t="s">
        <v>288</v>
      </c>
      <c r="C34" s="73" t="s">
        <v>287</v>
      </c>
      <c r="K34" s="49" t="s">
        <v>334</v>
      </c>
      <c r="L34" s="50" t="s">
        <v>20</v>
      </c>
      <c r="M34" s="74">
        <f>IF(OR(L6&gt;1000,L7&gt;1000),0.0001,L16)</f>
        <v>5.2</v>
      </c>
      <c r="N34" s="49" t="s">
        <v>2</v>
      </c>
      <c r="O34" s="195">
        <f>'Ceny składowe'!C34</f>
        <v>1.89</v>
      </c>
      <c r="P34" s="195">
        <f t="shared" si="0"/>
        <v>9.8279999999999994</v>
      </c>
    </row>
    <row r="35" spans="2:16">
      <c r="K35" s="49" t="s">
        <v>406</v>
      </c>
      <c r="L35" s="50" t="s">
        <v>20</v>
      </c>
      <c r="M35" s="74">
        <f>IF(OR(L6&gt;1000,L7&gt;1000),L16,0.0001)</f>
        <v>1E-4</v>
      </c>
      <c r="N35" s="49" t="s">
        <v>2</v>
      </c>
      <c r="O35" s="195">
        <f>'Ceny składowe'!C36</f>
        <v>2.92</v>
      </c>
      <c r="P35" s="195">
        <f t="shared" si="0"/>
        <v>2.92E-4</v>
      </c>
    </row>
    <row r="36" spans="2:16">
      <c r="O36" s="124" t="s">
        <v>265</v>
      </c>
      <c r="P36" s="195">
        <f>SUM(P30:P35)</f>
        <v>109.09289499999998</v>
      </c>
    </row>
    <row r="37" spans="2:16">
      <c r="B37" t="s">
        <v>110</v>
      </c>
      <c r="C37">
        <f>'Cennik Produkcja '!D258</f>
        <v>555</v>
      </c>
      <c r="D37" t="s">
        <v>2</v>
      </c>
      <c r="O37" s="99"/>
      <c r="P37" s="196"/>
    </row>
    <row r="38" spans="2:16">
      <c r="B38" t="s">
        <v>111</v>
      </c>
      <c r="C38">
        <f>'Cennik Produkcja '!E258</f>
        <v>555</v>
      </c>
      <c r="D38" t="s">
        <v>2</v>
      </c>
      <c r="O38" s="125" t="s">
        <v>293</v>
      </c>
      <c r="P38" s="195">
        <f>IF(L6&lt;600,P36*6,IF(L6&lt;1000,P36*6.2,IF(L6&gt;=1000,P36*7.08)))</f>
        <v>676.37594899999988</v>
      </c>
    </row>
    <row r="39" spans="2:16">
      <c r="B39" t="s">
        <v>153</v>
      </c>
      <c r="C39">
        <f>'Cennik Produkcja '!D256</f>
        <v>315</v>
      </c>
      <c r="D39" t="s">
        <v>2</v>
      </c>
      <c r="K39" s="1"/>
      <c r="L39" s="49"/>
      <c r="M39" s="1"/>
      <c r="N39" s="1"/>
      <c r="O39" s="54" t="s">
        <v>294</v>
      </c>
      <c r="P39" s="126">
        <f>(P38-P36)/P36</f>
        <v>5.1999999999999993</v>
      </c>
    </row>
    <row r="40" spans="2:16">
      <c r="B40" t="s">
        <v>154</v>
      </c>
      <c r="C40">
        <f>'Cennik Produkcja '!E256</f>
        <v>200</v>
      </c>
      <c r="D40" t="s">
        <v>27</v>
      </c>
      <c r="K40" s="1"/>
      <c r="L40" s="49"/>
      <c r="M40" s="1"/>
      <c r="N40" s="1"/>
    </row>
    <row r="41" spans="2:16">
      <c r="B41" t="s">
        <v>155</v>
      </c>
      <c r="C41">
        <v>50</v>
      </c>
      <c r="D41" t="s">
        <v>27</v>
      </c>
    </row>
    <row r="43" spans="2:16">
      <c r="B43" t="s">
        <v>156</v>
      </c>
      <c r="C43" s="70">
        <f>((C37*C38)-(((C39/2)*(C39/2))*3.14))/1000000</f>
        <v>0.230133375</v>
      </c>
      <c r="D43" t="s">
        <v>19</v>
      </c>
    </row>
    <row r="44" spans="2:16">
      <c r="B44" t="s">
        <v>758</v>
      </c>
      <c r="C44" s="70">
        <f>(C39*3.14)*100/1000000+0.025</f>
        <v>0.12390999999999999</v>
      </c>
      <c r="D44" t="s">
        <v>19</v>
      </c>
    </row>
    <row r="45" spans="2:16">
      <c r="B45" t="s">
        <v>157</v>
      </c>
      <c r="C45" s="70">
        <f>((C39*3.14)*C40)/1000000</f>
        <v>0.19782</v>
      </c>
      <c r="D45" t="s">
        <v>19</v>
      </c>
    </row>
    <row r="46" spans="2:16">
      <c r="B46" t="s">
        <v>158</v>
      </c>
      <c r="C46" s="70">
        <f>((C37+C38+C37+C38)*C41)/1000000</f>
        <v>0.111</v>
      </c>
      <c r="D46" t="s">
        <v>19</v>
      </c>
    </row>
    <row r="48" spans="2:16">
      <c r="B48" t="s">
        <v>159</v>
      </c>
      <c r="C48" s="70">
        <f>C43+C45+C46</f>
        <v>0.53895337499999996</v>
      </c>
      <c r="D48" t="s">
        <v>19</v>
      </c>
    </row>
    <row r="50" spans="1:7">
      <c r="B50" t="s">
        <v>145</v>
      </c>
      <c r="C50">
        <v>0.6</v>
      </c>
      <c r="D50">
        <v>0.8</v>
      </c>
    </row>
    <row r="51" spans="1:7">
      <c r="B51" t="s">
        <v>146</v>
      </c>
      <c r="C51">
        <v>8</v>
      </c>
    </row>
    <row r="53" spans="1:7">
      <c r="B53" t="s">
        <v>147</v>
      </c>
      <c r="C53" s="70">
        <f>C50*C51*C48</f>
        <v>2.5869761999999996</v>
      </c>
      <c r="D53" t="s">
        <v>17</v>
      </c>
    </row>
    <row r="54" spans="1:7">
      <c r="C54" s="70">
        <f>C53/1000</f>
        <v>2.5869761999999996E-3</v>
      </c>
      <c r="D54" t="s">
        <v>23</v>
      </c>
    </row>
    <row r="56" spans="1:7">
      <c r="C56" s="9"/>
      <c r="D56" s="7"/>
      <c r="E56" s="8"/>
      <c r="F56" s="9"/>
      <c r="G56" s="9"/>
    </row>
    <row r="57" spans="1:7">
      <c r="A57" s="73" t="s">
        <v>100</v>
      </c>
      <c r="B57" s="10" t="s">
        <v>4</v>
      </c>
      <c r="C57" s="10" t="s">
        <v>5</v>
      </c>
      <c r="D57" s="11"/>
      <c r="E57" s="13" t="s">
        <v>6</v>
      </c>
      <c r="F57" s="13" t="s">
        <v>7</v>
      </c>
    </row>
    <row r="58" spans="1:7">
      <c r="A58" t="s">
        <v>176</v>
      </c>
      <c r="B58" s="9" t="s">
        <v>127</v>
      </c>
      <c r="C58" s="93">
        <f>(C44+C45)*C50*C51</f>
        <v>1.5443039999999997</v>
      </c>
      <c r="D58" s="6" t="s">
        <v>17</v>
      </c>
      <c r="E58" s="196">
        <f>'Ceny składowe'!C6</f>
        <v>4.3</v>
      </c>
      <c r="F58" s="196">
        <f>E58*C58</f>
        <v>6.6405071999999983</v>
      </c>
    </row>
    <row r="59" spans="1:7">
      <c r="A59" s="100" t="s">
        <v>246</v>
      </c>
      <c r="B59" s="9" t="s">
        <v>257</v>
      </c>
      <c r="C59" s="93">
        <f>(C43+C46)*D50*C51</f>
        <v>2.1832536</v>
      </c>
      <c r="D59" s="6" t="s">
        <v>17</v>
      </c>
      <c r="E59" s="196">
        <f>'Ceny składowe'!C7</f>
        <v>4.2</v>
      </c>
      <c r="F59" s="196">
        <f>E59*C59</f>
        <v>9.1696651200000012</v>
      </c>
    </row>
    <row r="60" spans="1:7">
      <c r="A60" s="100" t="s">
        <v>339</v>
      </c>
      <c r="B60" s="9" t="s">
        <v>261</v>
      </c>
      <c r="C60" s="7">
        <f>C43</f>
        <v>0.230133375</v>
      </c>
      <c r="D60" s="8" t="s">
        <v>19</v>
      </c>
      <c r="E60" s="196">
        <f>'Ceny składowe'!C13</f>
        <v>26.81</v>
      </c>
      <c r="F60" s="196">
        <f>E60*C60</f>
        <v>6.1698757837499993</v>
      </c>
    </row>
    <row r="61" spans="1:7">
      <c r="B61" s="9"/>
      <c r="C61" s="7"/>
      <c r="D61" s="8"/>
      <c r="E61" s="119" t="s">
        <v>265</v>
      </c>
      <c r="F61" s="196">
        <f>SUM(F58:F60)</f>
        <v>21.980048103750001</v>
      </c>
    </row>
    <row r="62" spans="1:7">
      <c r="F62" s="4"/>
      <c r="G62" s="4"/>
    </row>
    <row r="63" spans="1:7">
      <c r="E63" s="125" t="s">
        <v>293</v>
      </c>
      <c r="F63" s="196">
        <f>IF(C39&lt;125,F61*12.5,IF(C39&lt;160,F61*12.5,IF(C39&lt;200,F61*11.2,IF(C39&lt;250,F61*11.4,IF(C39&lt;315,F61*11.1,IF(C39&lt;400,F61*11.2,IF(C39&gt;=400,F61*13.4)))))))</f>
        <v>246.17653876199998</v>
      </c>
    </row>
    <row r="64" spans="1:7">
      <c r="E64" s="54" t="s">
        <v>294</v>
      </c>
      <c r="F64" s="126">
        <f>(F63-F61)/F61</f>
        <v>10.199999999999999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M35"/>
  <sheetViews>
    <sheetView topLeftCell="B1" workbookViewId="0">
      <selection activeCell="M33" sqref="M33"/>
    </sheetView>
  </sheetViews>
  <sheetFormatPr defaultRowHeight="14.4"/>
  <cols>
    <col min="1" max="1" width="30" customWidth="1"/>
    <col min="2" max="2" width="42.33203125" customWidth="1"/>
    <col min="3" max="3" width="10.6640625" customWidth="1"/>
    <col min="5" max="5" width="16.5546875" customWidth="1"/>
    <col min="6" max="6" width="18.88671875" customWidth="1"/>
    <col min="8" max="8" width="29.33203125" customWidth="1"/>
    <col min="9" max="9" width="29" customWidth="1"/>
    <col min="10" max="10" width="15.5546875" customWidth="1"/>
    <col min="11" max="11" width="6.6640625" customWidth="1"/>
    <col min="12" max="12" width="13.88671875" customWidth="1"/>
    <col min="13" max="13" width="11.6640625" customWidth="1"/>
  </cols>
  <sheetData>
    <row r="3" spans="2:13">
      <c r="B3" s="73" t="s">
        <v>302</v>
      </c>
      <c r="I3" s="73" t="s">
        <v>303</v>
      </c>
    </row>
    <row r="5" spans="2:13">
      <c r="B5" t="s">
        <v>180</v>
      </c>
      <c r="C5">
        <f>'Cennik Produkcja '!D340</f>
        <v>1200</v>
      </c>
      <c r="I5" t="s">
        <v>110</v>
      </c>
      <c r="J5">
        <f>'Cennik Produkcja '!D347</f>
        <v>400</v>
      </c>
      <c r="L5" s="146">
        <v>100</v>
      </c>
      <c r="M5" s="2">
        <v>95.676000000000002</v>
      </c>
    </row>
    <row r="6" spans="2:13">
      <c r="B6" t="s">
        <v>181</v>
      </c>
      <c r="C6">
        <f>'Cennik Produkcja '!E340</f>
        <v>600</v>
      </c>
      <c r="I6" t="s">
        <v>111</v>
      </c>
      <c r="J6">
        <f>'Cennik Produkcja '!E347</f>
        <v>780</v>
      </c>
      <c r="L6" s="146">
        <v>125</v>
      </c>
      <c r="M6" s="2">
        <v>99.576000000000008</v>
      </c>
    </row>
    <row r="7" spans="2:13">
      <c r="B7" t="s">
        <v>89</v>
      </c>
      <c r="C7">
        <f>'Cennik Produkcja '!D342</f>
        <v>600</v>
      </c>
      <c r="I7" t="s">
        <v>89</v>
      </c>
      <c r="J7">
        <f>'Cennik Produkcja '!D349</f>
        <v>150</v>
      </c>
      <c r="L7" s="146">
        <v>150</v>
      </c>
      <c r="M7" s="2">
        <v>106.092</v>
      </c>
    </row>
    <row r="8" spans="2:13">
      <c r="I8" t="s">
        <v>298</v>
      </c>
      <c r="J8">
        <f>'Cennik Produkcja '!E349</f>
        <v>355</v>
      </c>
      <c r="L8" s="146">
        <v>160</v>
      </c>
      <c r="M8" s="2">
        <v>106.404</v>
      </c>
    </row>
    <row r="9" spans="2:13">
      <c r="B9" t="s">
        <v>885</v>
      </c>
      <c r="C9">
        <f>((C5+C5+C6+C6)*C7/1000000)</f>
        <v>2.16</v>
      </c>
      <c r="L9" s="146">
        <v>200</v>
      </c>
      <c r="M9" s="2">
        <v>116.568</v>
      </c>
    </row>
    <row r="10" spans="2:13">
      <c r="B10" t="s">
        <v>886</v>
      </c>
      <c r="C10" s="86">
        <f>95*(C5+C6+C6)/1000000</f>
        <v>0.22800000000000001</v>
      </c>
      <c r="I10" t="s">
        <v>299</v>
      </c>
      <c r="J10" s="86">
        <f>((J8*3.14*0.1)*2)/1000</f>
        <v>0.22294000000000003</v>
      </c>
      <c r="L10" s="146">
        <v>225</v>
      </c>
      <c r="M10" s="2">
        <v>108.66</v>
      </c>
    </row>
    <row r="11" spans="2:13">
      <c r="I11" t="s">
        <v>300</v>
      </c>
      <c r="J11" s="86">
        <f>((((J5*2)+(J6*2))*J7)+((J5*J6)*2))/1000000</f>
        <v>0.97799999999999998</v>
      </c>
      <c r="L11" s="146">
        <v>250</v>
      </c>
      <c r="M11" s="2">
        <v>131.79599999999999</v>
      </c>
    </row>
    <row r="12" spans="2:13">
      <c r="B12" t="s">
        <v>14</v>
      </c>
      <c r="C12">
        <v>2</v>
      </c>
      <c r="I12" t="s">
        <v>886</v>
      </c>
      <c r="J12" s="86">
        <f>95*(J5+J6+J6)/1000000</f>
        <v>0.1862</v>
      </c>
      <c r="L12" s="146">
        <v>315</v>
      </c>
      <c r="M12" s="2">
        <v>153.51599999999999</v>
      </c>
    </row>
    <row r="13" spans="2:13">
      <c r="B13" t="s">
        <v>21</v>
      </c>
      <c r="C13">
        <v>8</v>
      </c>
      <c r="I13" t="s">
        <v>301</v>
      </c>
      <c r="J13" s="86">
        <f>J10+J11+J12</f>
        <v>1.38714</v>
      </c>
      <c r="L13" s="146">
        <v>355</v>
      </c>
      <c r="M13" s="2">
        <v>165.08399999999997</v>
      </c>
    </row>
    <row r="14" spans="2:13">
      <c r="B14" t="s">
        <v>120</v>
      </c>
      <c r="C14" s="86">
        <f>((C5+C6+C5+C6)*2)/1000</f>
        <v>7.2</v>
      </c>
      <c r="L14" s="146">
        <v>400</v>
      </c>
      <c r="M14" s="2">
        <v>183.87599999999998</v>
      </c>
    </row>
    <row r="15" spans="2:13">
      <c r="I15" t="s">
        <v>62</v>
      </c>
      <c r="J15">
        <v>0.6</v>
      </c>
      <c r="L15" s="146">
        <v>450</v>
      </c>
      <c r="M15" s="2">
        <v>231.108</v>
      </c>
    </row>
    <row r="16" spans="2:13">
      <c r="B16" t="s">
        <v>62</v>
      </c>
      <c r="C16">
        <v>0.6</v>
      </c>
      <c r="I16" t="s">
        <v>53</v>
      </c>
      <c r="J16">
        <v>8</v>
      </c>
      <c r="L16" s="146">
        <v>500</v>
      </c>
      <c r="M16" s="2">
        <v>251.32799999999997</v>
      </c>
    </row>
    <row r="17" spans="1:13">
      <c r="B17" t="s">
        <v>53</v>
      </c>
      <c r="C17">
        <v>8</v>
      </c>
    </row>
    <row r="18" spans="1:13">
      <c r="I18" s="83" t="s">
        <v>115</v>
      </c>
      <c r="J18" s="115">
        <f>(J13*J15*J16)*1.1</f>
        <v>7.3240992000000009</v>
      </c>
    </row>
    <row r="19" spans="1:13">
      <c r="B19" s="83" t="s">
        <v>115</v>
      </c>
      <c r="C19" s="115">
        <f>C17*C16*(C9+C10)</f>
        <v>11.462400000000001</v>
      </c>
      <c r="I19" t="s">
        <v>116</v>
      </c>
      <c r="J19" s="70">
        <f>J18/1000</f>
        <v>7.3240992000000006E-3</v>
      </c>
    </row>
    <row r="20" spans="1:13">
      <c r="B20" t="s">
        <v>116</v>
      </c>
      <c r="C20" s="86">
        <f>C19/1000</f>
        <v>1.1462400000000001E-2</v>
      </c>
    </row>
    <row r="22" spans="1:13">
      <c r="A22" s="54" t="s">
        <v>100</v>
      </c>
      <c r="B22" s="13" t="s">
        <v>4</v>
      </c>
      <c r="C22" s="10" t="s">
        <v>5</v>
      </c>
      <c r="D22" s="51"/>
      <c r="E22" s="10" t="s">
        <v>6</v>
      </c>
      <c r="F22" s="10" t="s">
        <v>7</v>
      </c>
      <c r="G22" s="1"/>
      <c r="H22" s="54" t="s">
        <v>100</v>
      </c>
      <c r="I22" s="13" t="s">
        <v>4</v>
      </c>
      <c r="J22" s="10" t="s">
        <v>5</v>
      </c>
      <c r="K22" s="51"/>
      <c r="L22" s="10" t="s">
        <v>6</v>
      </c>
      <c r="M22" s="10" t="s">
        <v>7</v>
      </c>
    </row>
    <row r="23" spans="1:13">
      <c r="A23" s="49" t="s">
        <v>176</v>
      </c>
      <c r="B23" s="50" t="s">
        <v>62</v>
      </c>
      <c r="C23" s="46">
        <f>C19</f>
        <v>11.462400000000001</v>
      </c>
      <c r="D23" s="49" t="s">
        <v>17</v>
      </c>
      <c r="E23" s="195">
        <f>'Ceny składowe'!C6</f>
        <v>4.3</v>
      </c>
      <c r="F23" s="195">
        <f>E23*C23</f>
        <v>49.288319999999999</v>
      </c>
      <c r="G23" s="1"/>
      <c r="H23" s="49" t="s">
        <v>176</v>
      </c>
      <c r="I23" s="50" t="s">
        <v>62</v>
      </c>
      <c r="J23" s="46">
        <f>J18</f>
        <v>7.3240992000000009</v>
      </c>
      <c r="K23" s="49" t="s">
        <v>17</v>
      </c>
      <c r="L23" s="195">
        <f>'Ceny składowe'!C6</f>
        <v>4.3</v>
      </c>
      <c r="M23" s="195">
        <f>L23*J23</f>
        <v>31.493626560000003</v>
      </c>
    </row>
    <row r="24" spans="1:13">
      <c r="A24" s="49" t="s">
        <v>341</v>
      </c>
      <c r="B24" s="50" t="s">
        <v>201</v>
      </c>
      <c r="C24" s="74">
        <f>(1/1.7*C6)/1000</f>
        <v>0.35294117647058826</v>
      </c>
      <c r="D24" s="49" t="s">
        <v>64</v>
      </c>
      <c r="E24" s="195">
        <v>3.22</v>
      </c>
      <c r="F24" s="195">
        <f t="shared" ref="F24:F28" si="0">E24*C24</f>
        <v>1.1364705882352943</v>
      </c>
      <c r="G24" s="1"/>
      <c r="H24" s="49" t="s">
        <v>341</v>
      </c>
      <c r="I24" s="50" t="s">
        <v>201</v>
      </c>
      <c r="J24" s="74">
        <f>(1/1.7*J6)/1000</f>
        <v>0.45882352941176469</v>
      </c>
      <c r="K24" s="49" t="s">
        <v>64</v>
      </c>
      <c r="L24" s="195">
        <f>'Ceny składowe'!C44</f>
        <v>8.06</v>
      </c>
      <c r="M24" s="195">
        <f t="shared" ref="M24" si="1">L24*J24</f>
        <v>3.6981176470588237</v>
      </c>
    </row>
    <row r="25" spans="1:13">
      <c r="A25" s="49" t="s">
        <v>337</v>
      </c>
      <c r="B25" s="50" t="s">
        <v>21</v>
      </c>
      <c r="C25" s="47">
        <f>IF(OR(C5&gt;1000,C6&gt;1000),0.0001,8)</f>
        <v>1E-4</v>
      </c>
      <c r="D25" s="49" t="s">
        <v>64</v>
      </c>
      <c r="E25" s="195">
        <v>0.35</v>
      </c>
      <c r="F25" s="195">
        <f t="shared" si="0"/>
        <v>3.4999999999999997E-5</v>
      </c>
      <c r="G25" s="1"/>
      <c r="H25" s="5" t="s">
        <v>621</v>
      </c>
      <c r="I25" s="50" t="s">
        <v>884</v>
      </c>
      <c r="J25" s="1">
        <f>J5*J7/1000000</f>
        <v>0.06</v>
      </c>
      <c r="K25" s="49" t="s">
        <v>19</v>
      </c>
      <c r="L25" s="195">
        <f>'Ceny składowe'!C13</f>
        <v>26.81</v>
      </c>
      <c r="M25" s="195">
        <f>L25*J25</f>
        <v>1.6085999999999998</v>
      </c>
    </row>
    <row r="26" spans="1:13">
      <c r="A26" s="5" t="s">
        <v>336</v>
      </c>
      <c r="B26" s="50" t="s">
        <v>21</v>
      </c>
      <c r="C26" s="47">
        <f>IF(OR(C5&gt;1000,C6&gt;1000),8,0.0001)</f>
        <v>8</v>
      </c>
      <c r="D26" s="49" t="s">
        <v>2</v>
      </c>
      <c r="E26" s="195">
        <f>'Ceny składowe'!C22</f>
        <v>0.75</v>
      </c>
      <c r="F26" s="195">
        <f t="shared" si="0"/>
        <v>6</v>
      </c>
      <c r="G26" s="1"/>
      <c r="H26" s="5" t="s">
        <v>637</v>
      </c>
      <c r="I26" s="50" t="s">
        <v>914</v>
      </c>
      <c r="J26" s="1">
        <f>IF(J7&lt;=350,2,4)</f>
        <v>2</v>
      </c>
      <c r="K26" s="49" t="s">
        <v>64</v>
      </c>
      <c r="L26" s="195">
        <f>'Ceny składowe'!C48</f>
        <v>3.46</v>
      </c>
      <c r="M26" s="195">
        <f>J26*L26</f>
        <v>6.92</v>
      </c>
    </row>
    <row r="27" spans="1:13">
      <c r="A27" s="49" t="s">
        <v>334</v>
      </c>
      <c r="B27" s="50" t="s">
        <v>20</v>
      </c>
      <c r="C27" s="74">
        <f>IF(OR(C5&gt;1000,C6&gt;1000),0.0001,C14)</f>
        <v>1E-4</v>
      </c>
      <c r="D27" s="49" t="s">
        <v>2</v>
      </c>
      <c r="E27" s="195">
        <v>3.39</v>
      </c>
      <c r="F27" s="195">
        <f t="shared" si="0"/>
        <v>3.3900000000000005E-4</v>
      </c>
      <c r="G27" s="1"/>
      <c r="H27" s="1"/>
    </row>
    <row r="28" spans="1:13">
      <c r="A28" s="49" t="s">
        <v>406</v>
      </c>
      <c r="B28" s="50" t="s">
        <v>20</v>
      </c>
      <c r="C28" s="74">
        <f>IF(OR(C5&gt;1000,C6&gt;1000),C14,0.0001)</f>
        <v>7.2</v>
      </c>
      <c r="D28" s="49" t="s">
        <v>2</v>
      </c>
      <c r="E28" s="195">
        <f>'Ceny składowe'!C36</f>
        <v>2.92</v>
      </c>
      <c r="F28" s="195">
        <f t="shared" si="0"/>
        <v>21.024000000000001</v>
      </c>
      <c r="G28" s="1"/>
      <c r="H28" s="1"/>
    </row>
    <row r="29" spans="1:13">
      <c r="A29" s="49" t="s">
        <v>629</v>
      </c>
      <c r="B29" s="50" t="s">
        <v>630</v>
      </c>
      <c r="C29" s="1">
        <v>4</v>
      </c>
      <c r="D29" s="49" t="s">
        <v>64</v>
      </c>
      <c r="E29" s="195">
        <f>'Ceny składowe'!C77</f>
        <v>0.6</v>
      </c>
      <c r="F29" s="195">
        <f>C29*E29</f>
        <v>2.4</v>
      </c>
    </row>
    <row r="30" spans="1:13">
      <c r="A30" s="1"/>
      <c r="B30" s="49"/>
      <c r="C30" s="1"/>
      <c r="D30" s="1"/>
      <c r="E30" s="1"/>
      <c r="F30" s="49"/>
      <c r="G30" s="1"/>
      <c r="H30" s="1"/>
      <c r="L30" s="119" t="s">
        <v>265</v>
      </c>
      <c r="M30" s="195">
        <f>SUM(M23:M26)</f>
        <v>43.72034420705883</v>
      </c>
    </row>
    <row r="31" spans="1:13">
      <c r="A31" s="1"/>
      <c r="B31" s="49"/>
      <c r="C31" s="1"/>
      <c r="D31" s="1"/>
      <c r="E31" s="119" t="s">
        <v>265</v>
      </c>
      <c r="F31" s="195">
        <f>SUM(F23:F30)</f>
        <v>79.849164588235297</v>
      </c>
      <c r="G31" s="1"/>
      <c r="H31" s="1"/>
      <c r="M31" s="196"/>
    </row>
    <row r="32" spans="1:13">
      <c r="F32" s="195"/>
      <c r="L32" s="125" t="s">
        <v>293</v>
      </c>
      <c r="M32" s="195">
        <f>M30*5.4</f>
        <v>236.08985871811768</v>
      </c>
    </row>
    <row r="33" spans="1:13">
      <c r="E33" s="125" t="s">
        <v>293</v>
      </c>
      <c r="F33" s="195">
        <f>F31*5</f>
        <v>399.24582294117647</v>
      </c>
      <c r="L33" s="54" t="s">
        <v>294</v>
      </c>
      <c r="M33" s="128">
        <f>(M32-M30)/M30</f>
        <v>4.4000000000000004</v>
      </c>
    </row>
    <row r="34" spans="1:13">
      <c r="E34" s="54" t="s">
        <v>294</v>
      </c>
      <c r="F34" s="128">
        <f>(F33-F31)/F31</f>
        <v>4</v>
      </c>
      <c r="G34" s="53"/>
    </row>
    <row r="35" spans="1:13">
      <c r="A35" s="1"/>
      <c r="B35" s="49"/>
      <c r="C35" s="1"/>
      <c r="D35" s="1"/>
      <c r="E35" s="1"/>
      <c r="F35" s="49"/>
      <c r="G35" s="1"/>
      <c r="H35" s="1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2"/>
  <sheetViews>
    <sheetView workbookViewId="0">
      <selection activeCell="J12" sqref="J12"/>
    </sheetView>
  </sheetViews>
  <sheetFormatPr defaultColWidth="9.109375" defaultRowHeight="14.4"/>
  <cols>
    <col min="1" max="1" width="35.6640625" style="86" customWidth="1"/>
    <col min="2" max="2" width="31.109375" style="159" customWidth="1"/>
    <col min="3" max="3" width="11" style="74" customWidth="1"/>
    <col min="4" max="4" width="9.109375" style="74"/>
    <col min="5" max="5" width="13.44140625" style="74" customWidth="1"/>
    <col min="6" max="6" width="14.109375" style="74" customWidth="1"/>
    <col min="7" max="7" width="9.109375" style="74"/>
    <col min="8" max="8" width="13" style="74" customWidth="1"/>
    <col min="9" max="9" width="14.5546875" style="74" customWidth="1"/>
    <col min="10" max="10" width="14.77734375" style="74" customWidth="1"/>
    <col min="11" max="12" width="12.21875" style="74" customWidth="1"/>
    <col min="13" max="14" width="12.21875" style="86" customWidth="1"/>
    <col min="15" max="15" width="12.21875" style="162" customWidth="1"/>
    <col min="16" max="23" width="12.21875" style="86" customWidth="1"/>
    <col min="24" max="24" width="11.109375" style="86" customWidth="1"/>
    <col min="25" max="25" width="11.33203125" style="86" customWidth="1"/>
    <col min="26" max="26" width="11" style="86" customWidth="1"/>
    <col min="27" max="28" width="10.33203125" style="86" customWidth="1"/>
    <col min="29" max="29" width="10.6640625" style="86" customWidth="1"/>
    <col min="30" max="30" width="10.109375" style="86" customWidth="1"/>
    <col min="31" max="16384" width="9.109375" style="86"/>
  </cols>
  <sheetData>
    <row r="1" spans="2:25">
      <c r="F1" s="160"/>
      <c r="G1" s="161"/>
    </row>
    <row r="2" spans="2:25">
      <c r="G2" s="163"/>
    </row>
    <row r="3" spans="2:25">
      <c r="B3" s="164" t="s">
        <v>0</v>
      </c>
      <c r="C3" s="163"/>
      <c r="D3" s="163"/>
      <c r="E3" s="163"/>
      <c r="F3" s="163"/>
      <c r="G3" s="163"/>
      <c r="I3" s="594" t="s">
        <v>910</v>
      </c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471"/>
    </row>
    <row r="4" spans="2:25" ht="15.6">
      <c r="B4" s="165"/>
      <c r="C4" s="163"/>
      <c r="D4" s="163"/>
      <c r="E4" s="163"/>
      <c r="F4" s="163"/>
      <c r="G4" s="163"/>
      <c r="I4" s="595" t="s">
        <v>908</v>
      </c>
      <c r="J4" s="596"/>
      <c r="K4" s="596"/>
      <c r="L4" s="596"/>
      <c r="M4" s="596"/>
      <c r="N4" s="596"/>
      <c r="O4" s="596"/>
      <c r="P4" s="596"/>
      <c r="Q4" s="596"/>
      <c r="R4" s="596"/>
      <c r="S4" s="596"/>
      <c r="T4" s="596"/>
      <c r="U4" s="472"/>
    </row>
    <row r="5" spans="2:25" ht="15" thickBot="1">
      <c r="B5" s="169" t="s">
        <v>1</v>
      </c>
      <c r="C5" s="170">
        <f>'Cennik Produkcja '!D6</f>
        <v>350</v>
      </c>
      <c r="D5" s="163" t="s">
        <v>27</v>
      </c>
      <c r="E5" s="163"/>
      <c r="F5" s="163" t="s">
        <v>595</v>
      </c>
      <c r="G5" s="163"/>
      <c r="I5" s="133"/>
      <c r="J5" s="99"/>
      <c r="K5" s="597" t="s">
        <v>97</v>
      </c>
      <c r="L5" s="598"/>
      <c r="M5" s="598"/>
      <c r="N5" s="598"/>
      <c r="O5" s="598"/>
      <c r="P5" s="598"/>
      <c r="Q5" s="598"/>
      <c r="R5" s="598"/>
      <c r="S5" s="598"/>
      <c r="T5" s="598"/>
      <c r="U5" s="599"/>
    </row>
    <row r="6" spans="2:25" ht="15" thickBot="1">
      <c r="B6" s="169" t="s">
        <v>3</v>
      </c>
      <c r="C6" s="170">
        <f>'Cennik Produkcja '!E6</f>
        <v>250</v>
      </c>
      <c r="D6" s="163" t="s">
        <v>27</v>
      </c>
      <c r="E6" s="325">
        <f>C6/100</f>
        <v>2.5</v>
      </c>
      <c r="F6" s="325">
        <f>ROUNDDOWN(E6,0.1)</f>
        <v>2</v>
      </c>
      <c r="H6" s="163"/>
      <c r="I6" s="133"/>
      <c r="J6" s="473" t="s">
        <v>909</v>
      </c>
      <c r="K6" s="475">
        <v>100</v>
      </c>
      <c r="L6" s="460">
        <v>200</v>
      </c>
      <c r="M6" s="460">
        <v>400</v>
      </c>
      <c r="N6" s="460">
        <v>600</v>
      </c>
      <c r="O6" s="460">
        <v>800</v>
      </c>
      <c r="P6" s="460">
        <v>1000</v>
      </c>
      <c r="Q6" s="460">
        <v>1200</v>
      </c>
      <c r="R6" s="460">
        <v>1400</v>
      </c>
      <c r="S6" s="460">
        <v>1600</v>
      </c>
      <c r="T6" s="460">
        <v>1800</v>
      </c>
      <c r="U6" s="461">
        <v>2000</v>
      </c>
      <c r="V6" s="474">
        <v>2200</v>
      </c>
      <c r="Y6" s="455"/>
    </row>
    <row r="7" spans="2:25" ht="14.4" customHeight="1">
      <c r="B7" s="169" t="s">
        <v>594</v>
      </c>
      <c r="C7" s="170" t="str">
        <f>'Cennik Produkcja '!D8</f>
        <v>B</v>
      </c>
      <c r="D7" s="163"/>
      <c r="E7" s="163"/>
      <c r="H7" s="163"/>
      <c r="I7" s="603" t="s">
        <v>96</v>
      </c>
      <c r="J7" s="476">
        <v>100</v>
      </c>
      <c r="K7" s="571">
        <f t="shared" ref="K7:T7" si="0">K8-(K9-K8)</f>
        <v>156.16699999999997</v>
      </c>
      <c r="L7" s="567">
        <f t="shared" si="0"/>
        <v>184.95399999999998</v>
      </c>
      <c r="M7" s="567">
        <f t="shared" si="0"/>
        <v>213.74099999999999</v>
      </c>
      <c r="N7" s="567">
        <f t="shared" si="0"/>
        <v>244.0019999999999</v>
      </c>
      <c r="O7" s="567">
        <f t="shared" si="0"/>
        <v>273.30599999999993</v>
      </c>
      <c r="P7" s="567">
        <f t="shared" si="0"/>
        <v>301.48799999999994</v>
      </c>
      <c r="Q7" s="567">
        <f t="shared" si="0"/>
        <v>332.80500000000001</v>
      </c>
      <c r="R7" s="567">
        <f t="shared" si="0"/>
        <v>362.09800000000007</v>
      </c>
      <c r="S7" s="567">
        <f t="shared" si="0"/>
        <v>493.61399999999981</v>
      </c>
      <c r="T7" s="567">
        <f t="shared" si="0"/>
        <v>523.64400000000001</v>
      </c>
      <c r="U7" s="572">
        <f>U8-(U9-U8)</f>
        <v>553.67400000000021</v>
      </c>
      <c r="V7" s="474">
        <f t="shared" ref="V7:V16" si="1">(U7-T7)+U7</f>
        <v>583.70400000000041</v>
      </c>
      <c r="Y7" s="456"/>
    </row>
    <row r="8" spans="2:25">
      <c r="H8" s="163"/>
      <c r="I8" s="604"/>
      <c r="J8" s="458">
        <v>200</v>
      </c>
      <c r="K8" s="560">
        <f t="shared" ref="K8:K16" si="2">L8-(M8-L8)</f>
        <v>162.45899999999997</v>
      </c>
      <c r="L8" s="462">
        <v>205.40299999999999</v>
      </c>
      <c r="M8" s="463">
        <v>248.34700000000001</v>
      </c>
      <c r="N8" s="464">
        <v>291.79699999999997</v>
      </c>
      <c r="O8" s="464">
        <v>334.74099999999999</v>
      </c>
      <c r="P8" s="465">
        <v>377.67399999999998</v>
      </c>
      <c r="Q8" s="465">
        <v>421.65199999999999</v>
      </c>
      <c r="R8" s="466">
        <v>464.596</v>
      </c>
      <c r="S8" s="466">
        <v>610.84099999999989</v>
      </c>
      <c r="T8" s="467">
        <v>654.577</v>
      </c>
      <c r="U8" s="468">
        <v>698.3130000000001</v>
      </c>
      <c r="V8" s="474">
        <f t="shared" si="1"/>
        <v>742.04900000000021</v>
      </c>
      <c r="Y8" s="456"/>
    </row>
    <row r="9" spans="2:25">
      <c r="B9" s="316" t="s">
        <v>587</v>
      </c>
      <c r="C9" s="74">
        <f>(((C5+C6)*2)/1000)*2</f>
        <v>2.4</v>
      </c>
      <c r="D9" s="163" t="s">
        <v>2</v>
      </c>
      <c r="E9" s="163"/>
      <c r="F9" s="163"/>
      <c r="H9" s="163"/>
      <c r="I9" s="604"/>
      <c r="J9" s="458">
        <v>400</v>
      </c>
      <c r="K9" s="568">
        <f t="shared" si="2"/>
        <v>168.75099999999998</v>
      </c>
      <c r="L9" s="462">
        <v>225.852</v>
      </c>
      <c r="M9" s="463">
        <v>282.95300000000003</v>
      </c>
      <c r="N9" s="464">
        <v>339.59200000000004</v>
      </c>
      <c r="O9" s="464">
        <v>396.17600000000004</v>
      </c>
      <c r="P9" s="465">
        <v>453.86</v>
      </c>
      <c r="Q9" s="465">
        <v>510.49899999999997</v>
      </c>
      <c r="R9" s="466">
        <v>567.09399999999994</v>
      </c>
      <c r="S9" s="466">
        <v>728.06799999999998</v>
      </c>
      <c r="T9" s="467">
        <v>785.51</v>
      </c>
      <c r="U9" s="468">
        <v>842.952</v>
      </c>
      <c r="V9" s="474">
        <f t="shared" si="1"/>
        <v>900.39400000000001</v>
      </c>
      <c r="Y9" s="456"/>
    </row>
    <row r="10" spans="2:25">
      <c r="B10" s="180" t="s">
        <v>18</v>
      </c>
      <c r="C10" s="163">
        <f>((C5+30)*175)*2/1000000</f>
        <v>0.13300000000000001</v>
      </c>
      <c r="D10" s="163" t="s">
        <v>19</v>
      </c>
      <c r="E10" s="163"/>
      <c r="F10" s="163"/>
      <c r="H10" s="163"/>
      <c r="I10" s="604"/>
      <c r="J10" s="458">
        <v>600</v>
      </c>
      <c r="K10" s="568">
        <f t="shared" si="2"/>
        <v>176.44</v>
      </c>
      <c r="L10" s="462">
        <v>246.74100000000001</v>
      </c>
      <c r="M10" s="463">
        <v>317.04200000000003</v>
      </c>
      <c r="N10" s="464">
        <v>387.33199999999999</v>
      </c>
      <c r="O10" s="464">
        <v>458.71100000000001</v>
      </c>
      <c r="P10" s="465">
        <v>529.00099999999998</v>
      </c>
      <c r="Q10" s="465">
        <v>599.30200000000002</v>
      </c>
      <c r="R10" s="466">
        <v>669.59199999999998</v>
      </c>
      <c r="S10" s="466">
        <v>845.35</v>
      </c>
      <c r="T10" s="467">
        <v>916.50900000000001</v>
      </c>
      <c r="U10" s="468">
        <v>987.60200000000009</v>
      </c>
      <c r="V10" s="474">
        <f t="shared" si="1"/>
        <v>1058.6950000000002</v>
      </c>
      <c r="Y10" s="456"/>
    </row>
    <row r="11" spans="2:25">
      <c r="B11" s="180" t="s">
        <v>588</v>
      </c>
      <c r="C11" s="74">
        <f>IF(E11&gt;0,F11)</f>
        <v>9.0999999999999998E-2</v>
      </c>
      <c r="D11" s="163" t="s">
        <v>19</v>
      </c>
      <c r="E11" s="325">
        <f>MOD(E6,1)</f>
        <v>0.5</v>
      </c>
      <c r="F11" s="327">
        <f>IF(E11&lt;0.5,(0.8+(E11*2))*C5/10000,IF(E11&gt;=0.5,((0.8+E11)*C5)*2)/10000)</f>
        <v>9.0999999999999998E-2</v>
      </c>
      <c r="G11" s="163"/>
      <c r="H11" s="163"/>
      <c r="I11" s="604"/>
      <c r="J11" s="458">
        <v>800</v>
      </c>
      <c r="K11" s="568">
        <f t="shared" si="2"/>
        <v>183.13900000000001</v>
      </c>
      <c r="L11" s="462">
        <v>267.13499999999999</v>
      </c>
      <c r="M11" s="463">
        <v>351.13099999999997</v>
      </c>
      <c r="N11" s="464">
        <v>436.15</v>
      </c>
      <c r="O11" s="464">
        <v>520.15700000000004</v>
      </c>
      <c r="P11" s="465">
        <v>604.09799999999996</v>
      </c>
      <c r="Q11" s="465">
        <v>688.09399999999994</v>
      </c>
      <c r="R11" s="466">
        <v>772.03500000000008</v>
      </c>
      <c r="S11" s="466">
        <v>962.64300000000003</v>
      </c>
      <c r="T11" s="467">
        <v>1047.442</v>
      </c>
      <c r="U11" s="468">
        <v>1132.241</v>
      </c>
      <c r="V11" s="474">
        <f t="shared" si="1"/>
        <v>1217.04</v>
      </c>
      <c r="Y11" s="456"/>
    </row>
    <row r="12" spans="2:25">
      <c r="B12" s="316" t="s">
        <v>596</v>
      </c>
      <c r="C12" s="74">
        <f>IF(C7="B",0.2*C6)/1000</f>
        <v>0.05</v>
      </c>
      <c r="D12" s="74" t="s">
        <v>19</v>
      </c>
      <c r="E12" s="328">
        <f>IF(OR(C5&gt;=1500,C6&gt;=1400),C12*2,C12)</f>
        <v>0.05</v>
      </c>
      <c r="F12" s="159" t="s">
        <v>19</v>
      </c>
      <c r="G12" s="163"/>
      <c r="H12" s="163"/>
      <c r="I12" s="604"/>
      <c r="J12" s="458">
        <v>1000</v>
      </c>
      <c r="K12" s="568">
        <f t="shared" si="2"/>
        <v>188.79299999999995</v>
      </c>
      <c r="L12" s="462">
        <v>287.51799999999997</v>
      </c>
      <c r="M12" s="463">
        <v>386.24299999999999</v>
      </c>
      <c r="N12" s="464">
        <v>483.95599999999996</v>
      </c>
      <c r="O12" s="464">
        <v>581.59199999999998</v>
      </c>
      <c r="P12" s="465">
        <v>679.25</v>
      </c>
      <c r="Q12" s="465">
        <v>805.04600000000005</v>
      </c>
      <c r="R12" s="466">
        <v>902.74799999999993</v>
      </c>
      <c r="S12" s="466">
        <v>1108.096</v>
      </c>
      <c r="T12" s="467">
        <v>1206.5349999999999</v>
      </c>
      <c r="U12" s="468">
        <v>1305.0400000000002</v>
      </c>
      <c r="V12" s="474">
        <f t="shared" si="1"/>
        <v>1403.5450000000005</v>
      </c>
      <c r="Y12" s="456"/>
    </row>
    <row r="13" spans="2:25">
      <c r="G13" s="163"/>
      <c r="H13" s="163"/>
      <c r="I13" s="604"/>
      <c r="J13" s="458">
        <v>1200</v>
      </c>
      <c r="K13" s="568">
        <f t="shared" si="2"/>
        <v>197.63699999999989</v>
      </c>
      <c r="L13" s="462">
        <v>308.98999999999995</v>
      </c>
      <c r="M13" s="463">
        <v>420.34300000000002</v>
      </c>
      <c r="N13" s="464">
        <v>531.69600000000003</v>
      </c>
      <c r="O13" s="464">
        <v>643.03800000000001</v>
      </c>
      <c r="P13" s="465">
        <v>782.54</v>
      </c>
      <c r="Q13" s="465">
        <v>922.04200000000003</v>
      </c>
      <c r="R13" s="466">
        <v>1033.4059999999999</v>
      </c>
      <c r="S13" s="466">
        <v>1253.527</v>
      </c>
      <c r="T13" s="467">
        <v>1365.683</v>
      </c>
      <c r="U13" s="468">
        <v>1477.828</v>
      </c>
      <c r="V13" s="474">
        <f t="shared" si="1"/>
        <v>1589.973</v>
      </c>
      <c r="Y13" s="456"/>
    </row>
    <row r="14" spans="2:25">
      <c r="B14" s="180" t="s">
        <v>127</v>
      </c>
      <c r="C14" s="326">
        <f>(C10+C11)*4.8</f>
        <v>1.0751999999999999</v>
      </c>
      <c r="D14" s="163" t="s">
        <v>17</v>
      </c>
      <c r="G14" s="163"/>
      <c r="H14" s="163"/>
      <c r="I14" s="604"/>
      <c r="J14" s="458">
        <v>1400</v>
      </c>
      <c r="K14" s="568">
        <f t="shared" si="2"/>
        <v>204.42399999999998</v>
      </c>
      <c r="L14" s="467">
        <v>329.428</v>
      </c>
      <c r="M14" s="467">
        <v>454.43200000000002</v>
      </c>
      <c r="N14" s="467">
        <v>579.42499999999995</v>
      </c>
      <c r="O14" s="467">
        <v>704.48400000000004</v>
      </c>
      <c r="P14" s="467">
        <v>857.63699999999994</v>
      </c>
      <c r="Q14" s="467">
        <v>1010.845</v>
      </c>
      <c r="R14" s="467">
        <v>1135.838</v>
      </c>
      <c r="S14" s="467">
        <v>1370.7650000000001</v>
      </c>
      <c r="T14" s="467">
        <v>1496.616</v>
      </c>
      <c r="U14" s="468">
        <v>1622.4780000000001</v>
      </c>
      <c r="V14" s="474">
        <f t="shared" si="1"/>
        <v>1748.3400000000001</v>
      </c>
      <c r="Y14" s="456"/>
    </row>
    <row r="15" spans="2:25">
      <c r="B15" s="316" t="s">
        <v>597</v>
      </c>
      <c r="C15" s="74">
        <f>E12*4.8</f>
        <v>0.24</v>
      </c>
      <c r="D15" s="74" t="s">
        <v>17</v>
      </c>
      <c r="E15" s="163"/>
      <c r="F15" s="163"/>
      <c r="G15" s="163"/>
      <c r="H15" s="163"/>
      <c r="I15" s="604"/>
      <c r="J15" s="458">
        <v>1600</v>
      </c>
      <c r="K15" s="568">
        <f t="shared" si="2"/>
        <v>278.09100000000012</v>
      </c>
      <c r="L15" s="467">
        <v>450.14200000000005</v>
      </c>
      <c r="M15" s="467">
        <v>622.19299999999998</v>
      </c>
      <c r="N15" s="467">
        <v>794.18899999999996</v>
      </c>
      <c r="O15" s="467">
        <v>966.18500000000006</v>
      </c>
      <c r="P15" s="467">
        <v>1168.1010000000001</v>
      </c>
      <c r="Q15" s="467">
        <v>1370.0170000000001</v>
      </c>
      <c r="R15" s="467">
        <v>1542.0129999999999</v>
      </c>
      <c r="S15" s="467">
        <v>1837.5830000000001</v>
      </c>
      <c r="T15" s="467">
        <v>2010.4370000000001</v>
      </c>
      <c r="U15" s="468">
        <v>2183.346</v>
      </c>
      <c r="V15" s="474">
        <f t="shared" si="1"/>
        <v>2356.2550000000001</v>
      </c>
      <c r="Y15" s="456"/>
    </row>
    <row r="16" spans="2:25">
      <c r="B16" s="180" t="s">
        <v>257</v>
      </c>
      <c r="C16" s="326">
        <f>(C10+C11)*6.4</f>
        <v>1.4336000000000002</v>
      </c>
      <c r="D16" s="163" t="s">
        <v>17</v>
      </c>
      <c r="E16" s="163"/>
      <c r="F16" s="163"/>
      <c r="G16" s="163"/>
      <c r="H16" s="163"/>
      <c r="I16" s="604"/>
      <c r="J16" s="458">
        <v>1800</v>
      </c>
      <c r="K16" s="568">
        <f t="shared" si="2"/>
        <v>285.2299999999999</v>
      </c>
      <c r="L16" s="467">
        <v>471.78999999999996</v>
      </c>
      <c r="M16" s="467">
        <v>658.35</v>
      </c>
      <c r="N16" s="467">
        <v>844.84399999999994</v>
      </c>
      <c r="O16" s="467">
        <v>1031.404</v>
      </c>
      <c r="P16" s="467">
        <v>1247.8180000000002</v>
      </c>
      <c r="Q16" s="467">
        <v>1464.1879999999999</v>
      </c>
      <c r="R16" s="467">
        <v>1650.7370000000001</v>
      </c>
      <c r="S16" s="467">
        <v>1961.9489999999998</v>
      </c>
      <c r="T16" s="467">
        <v>2149.3670000000002</v>
      </c>
      <c r="U16" s="468">
        <v>2336.7740000000003</v>
      </c>
      <c r="V16" s="474">
        <f t="shared" si="1"/>
        <v>2524.1810000000005</v>
      </c>
      <c r="Y16" s="456"/>
    </row>
    <row r="17" spans="1:25">
      <c r="G17" s="163"/>
      <c r="H17" s="163"/>
      <c r="I17" s="604"/>
      <c r="J17" s="564">
        <v>2000</v>
      </c>
      <c r="K17" s="570">
        <f>L17-(M17-L17)</f>
        <v>292.36900000000003</v>
      </c>
      <c r="L17" s="561">
        <v>493.42700000000002</v>
      </c>
      <c r="M17" s="561">
        <v>694.48500000000001</v>
      </c>
      <c r="N17" s="561">
        <v>895.55399999999997</v>
      </c>
      <c r="O17" s="561">
        <v>1096.557</v>
      </c>
      <c r="P17" s="561">
        <v>1327.48</v>
      </c>
      <c r="Q17" s="561">
        <v>1558.403</v>
      </c>
      <c r="R17" s="561">
        <v>1759.461</v>
      </c>
      <c r="S17" s="561">
        <v>2086.3809999999999</v>
      </c>
      <c r="T17" s="561">
        <v>2288.297</v>
      </c>
      <c r="U17" s="562">
        <v>2490.2129999999997</v>
      </c>
      <c r="V17" s="474">
        <f>(U17-T17)+U17</f>
        <v>2692.1289999999995</v>
      </c>
      <c r="Y17" s="456"/>
    </row>
    <row r="18" spans="1:25">
      <c r="A18" s="173" t="s">
        <v>100</v>
      </c>
      <c r="B18" s="160" t="s">
        <v>4</v>
      </c>
      <c r="C18" s="160" t="s">
        <v>5</v>
      </c>
      <c r="D18" s="160"/>
      <c r="E18" s="160" t="s">
        <v>6</v>
      </c>
      <c r="F18" s="160" t="s">
        <v>7</v>
      </c>
      <c r="G18" s="163"/>
      <c r="H18" s="163"/>
      <c r="I18" s="604"/>
      <c r="J18" s="565">
        <v>2200</v>
      </c>
      <c r="K18" s="560">
        <f t="shared" ref="K18:K19" si="3">L18-(M18-L18)</f>
        <v>299.50800000000015</v>
      </c>
      <c r="L18" s="563">
        <f t="shared" ref="K18:T20" si="4">(L17-L16)+L17</f>
        <v>515.06400000000008</v>
      </c>
      <c r="M18" s="563">
        <f t="shared" si="4"/>
        <v>730.62</v>
      </c>
      <c r="N18" s="563">
        <f t="shared" si="4"/>
        <v>946.26400000000001</v>
      </c>
      <c r="O18" s="563">
        <f t="shared" si="4"/>
        <v>1161.71</v>
      </c>
      <c r="P18" s="563">
        <f t="shared" si="4"/>
        <v>1407.1419999999998</v>
      </c>
      <c r="Q18" s="563">
        <f t="shared" si="4"/>
        <v>1652.6180000000002</v>
      </c>
      <c r="R18" s="563">
        <f t="shared" si="4"/>
        <v>1868.1849999999999</v>
      </c>
      <c r="S18" s="563">
        <f t="shared" si="4"/>
        <v>2210.8130000000001</v>
      </c>
      <c r="T18" s="563">
        <f t="shared" si="4"/>
        <v>2427.2269999999999</v>
      </c>
      <c r="U18" s="566">
        <f>(U17-U16)+U17</f>
        <v>2643.6519999999991</v>
      </c>
      <c r="V18" s="474">
        <f t="shared" ref="V18:V19" si="5">(U18-T18)+U18</f>
        <v>2860.0769999999984</v>
      </c>
      <c r="W18" s="195"/>
      <c r="X18" s="456"/>
    </row>
    <row r="19" spans="1:25" ht="15" thickBot="1">
      <c r="A19" s="86" t="s">
        <v>639</v>
      </c>
      <c r="B19" s="165" t="s">
        <v>8</v>
      </c>
      <c r="C19" s="163">
        <f>F6*(C5/1000)</f>
        <v>0.7</v>
      </c>
      <c r="D19" s="165" t="s">
        <v>2</v>
      </c>
      <c r="E19" s="196">
        <f>'Ceny składowe'!C40</f>
        <v>22.9</v>
      </c>
      <c r="F19" s="196">
        <f>C19*E19</f>
        <v>16.029999999999998</v>
      </c>
      <c r="G19" s="163"/>
      <c r="H19" s="163"/>
      <c r="I19" s="605"/>
      <c r="J19" s="459">
        <v>2400</v>
      </c>
      <c r="K19" s="569">
        <f t="shared" si="3"/>
        <v>306.6400000000001</v>
      </c>
      <c r="L19" s="469">
        <v>536.70000000000005</v>
      </c>
      <c r="M19" s="469">
        <v>766.76</v>
      </c>
      <c r="N19" s="469">
        <v>996.97</v>
      </c>
      <c r="O19" s="469">
        <v>1226.8699999999999</v>
      </c>
      <c r="P19" s="469">
        <v>1486.8</v>
      </c>
      <c r="Q19" s="469">
        <v>1746.84</v>
      </c>
      <c r="R19" s="469">
        <v>1976.92</v>
      </c>
      <c r="S19" s="469">
        <v>2335.2399999999998</v>
      </c>
      <c r="T19" s="469">
        <v>2566.16</v>
      </c>
      <c r="U19" s="470">
        <v>2797.09</v>
      </c>
      <c r="V19" s="474">
        <f t="shared" si="5"/>
        <v>3028.0200000000004</v>
      </c>
      <c r="W19" s="195"/>
      <c r="X19" s="456"/>
    </row>
    <row r="20" spans="1:25">
      <c r="A20" s="86" t="s">
        <v>101</v>
      </c>
      <c r="B20" s="165" t="s">
        <v>11</v>
      </c>
      <c r="C20" s="163">
        <f>IF(C5&lt;1500,F6*2,0.0001)+IF(C5&gt;=1500&lt;2000,F6*2,0.0001)+IF(C5&gt;=2000,F6*4,0.0001)</f>
        <v>4.0001999999999995</v>
      </c>
      <c r="D20" s="165" t="s">
        <v>10</v>
      </c>
      <c r="E20" s="196">
        <f>'Ceny składowe'!C19</f>
        <v>0.55000000000000004</v>
      </c>
      <c r="F20" s="196">
        <f>C20*E20</f>
        <v>2.20011</v>
      </c>
      <c r="H20" s="163"/>
      <c r="I20" s="457"/>
      <c r="J20" s="478">
        <v>2600</v>
      </c>
      <c r="K20" s="477">
        <f t="shared" si="4"/>
        <v>313.77200000000005</v>
      </c>
      <c r="L20" s="477">
        <f t="shared" si="4"/>
        <v>558.33600000000001</v>
      </c>
      <c r="M20" s="477">
        <f t="shared" si="4"/>
        <v>802.9</v>
      </c>
      <c r="N20" s="477">
        <f t="shared" si="4"/>
        <v>1047.6759999999999</v>
      </c>
      <c r="O20" s="477">
        <f t="shared" si="4"/>
        <v>1292.0299999999997</v>
      </c>
      <c r="P20" s="477">
        <f t="shared" si="4"/>
        <v>1566.4580000000001</v>
      </c>
      <c r="Q20" s="477">
        <f t="shared" si="4"/>
        <v>1841.0619999999997</v>
      </c>
      <c r="R20" s="477">
        <f t="shared" si="4"/>
        <v>2085.6550000000002</v>
      </c>
      <c r="S20" s="477">
        <f t="shared" si="4"/>
        <v>2459.6669999999995</v>
      </c>
      <c r="T20" s="477">
        <f t="shared" si="4"/>
        <v>2705.0929999999998</v>
      </c>
      <c r="U20" s="477">
        <f>(U19-U18)+U19</f>
        <v>2950.5280000000012</v>
      </c>
      <c r="V20" s="456"/>
      <c r="W20" s="456"/>
    </row>
    <row r="21" spans="1:25">
      <c r="A21" s="86" t="s">
        <v>102</v>
      </c>
      <c r="B21" s="165" t="s">
        <v>12</v>
      </c>
      <c r="C21" s="163">
        <f>IF(OR(C5&gt;=1500,C6&gt;=1400),0.0001,F6)</f>
        <v>2</v>
      </c>
      <c r="D21" s="165" t="s">
        <v>10</v>
      </c>
      <c r="E21" s="196">
        <f>'Ceny składowe'!C29</f>
        <v>0.45</v>
      </c>
      <c r="F21" s="196">
        <f>C21*E21</f>
        <v>0.9</v>
      </c>
      <c r="G21" s="163"/>
      <c r="H21" s="163"/>
      <c r="I21" s="457"/>
      <c r="J21" s="559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</row>
    <row r="22" spans="1:25">
      <c r="A22" s="86" t="s">
        <v>103</v>
      </c>
      <c r="B22" s="165" t="s">
        <v>13</v>
      </c>
      <c r="C22" s="163">
        <f>C31</f>
        <v>2</v>
      </c>
      <c r="D22" s="165" t="s">
        <v>10</v>
      </c>
      <c r="E22" s="196">
        <f>'Ceny składowe'!C28</f>
        <v>0.56999999999999995</v>
      </c>
      <c r="F22" s="196">
        <f>C22*E22</f>
        <v>1.1399999999999999</v>
      </c>
      <c r="G22" s="163"/>
      <c r="H22" s="163"/>
      <c r="I22" s="457"/>
      <c r="J22" s="559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</row>
    <row r="23" spans="1:25">
      <c r="A23" s="86" t="s">
        <v>106</v>
      </c>
      <c r="B23" s="165" t="s">
        <v>14</v>
      </c>
      <c r="C23" s="163">
        <f>G23</f>
        <v>1E-4</v>
      </c>
      <c r="D23" s="165" t="s">
        <v>10</v>
      </c>
      <c r="E23" s="196">
        <f>'Ceny składowe'!C47</f>
        <v>6.9</v>
      </c>
      <c r="F23" s="196">
        <f t="shared" ref="F23" si="6">E23*C23</f>
        <v>6.9000000000000008E-4</v>
      </c>
      <c r="G23" s="330">
        <f>IF(C7="B",0.0001,IF(C7="R",1,IF(C7=0,1)))</f>
        <v>1E-4</v>
      </c>
      <c r="H23" s="163"/>
      <c r="I23" s="177"/>
      <c r="J23" s="99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456"/>
    </row>
    <row r="24" spans="1:25">
      <c r="A24" s="86" t="s">
        <v>104</v>
      </c>
      <c r="B24" s="165" t="s">
        <v>16</v>
      </c>
      <c r="C24" s="163">
        <f>IF(C5&gt;2000,C6/1000*4,C6/1000*2)</f>
        <v>0.5</v>
      </c>
      <c r="D24" s="165" t="s">
        <v>2</v>
      </c>
      <c r="E24" s="196">
        <f>'Ceny składowe'!C32</f>
        <v>10.5</v>
      </c>
      <c r="F24" s="196">
        <f>E24*C24</f>
        <v>5.25</v>
      </c>
      <c r="G24" s="163"/>
      <c r="H24" s="163"/>
      <c r="J24" s="602" t="s">
        <v>890</v>
      </c>
      <c r="K24" s="602"/>
      <c r="L24" s="456"/>
      <c r="M24" s="456"/>
      <c r="N24" s="456"/>
      <c r="O24" s="456"/>
      <c r="P24" s="456"/>
      <c r="Q24" s="456"/>
      <c r="R24" s="456"/>
      <c r="S24" s="456"/>
      <c r="T24" s="456"/>
    </row>
    <row r="25" spans="1:25" ht="15">
      <c r="A25" s="86" t="s">
        <v>176</v>
      </c>
      <c r="B25" s="159" t="s">
        <v>471</v>
      </c>
      <c r="C25" s="74">
        <f>G25+C15</f>
        <v>1.3151999999999999</v>
      </c>
      <c r="D25" s="165" t="s">
        <v>17</v>
      </c>
      <c r="E25" s="196">
        <f>'Ceny składowe'!C6</f>
        <v>4.3</v>
      </c>
      <c r="F25" s="196">
        <f>E25*C25</f>
        <v>5.6553599999999991</v>
      </c>
      <c r="G25" s="328">
        <f>IF(OR(C5&gt;1000,C6&gt;1000),0.0001,C14)</f>
        <v>1.0751999999999999</v>
      </c>
      <c r="H25" s="165" t="s">
        <v>17</v>
      </c>
      <c r="J25" s="451" t="s">
        <v>892</v>
      </c>
      <c r="K25" s="450">
        <f>MATCH(C5, $J$7:$J$20, 1)</f>
        <v>2</v>
      </c>
      <c r="M25" s="74"/>
      <c r="R25" s="175" t="s">
        <v>77</v>
      </c>
      <c r="S25" s="593" t="s">
        <v>72</v>
      </c>
      <c r="T25" s="593"/>
      <c r="U25" s="593"/>
    </row>
    <row r="26" spans="1:25" ht="15" customHeight="1">
      <c r="A26" s="86" t="s">
        <v>246</v>
      </c>
      <c r="B26" s="165" t="s">
        <v>472</v>
      </c>
      <c r="C26" s="163">
        <f>IF(OR(C5&gt;1000,C6&gt;1000),C16,0.0001)</f>
        <v>1E-4</v>
      </c>
      <c r="D26" s="165" t="s">
        <v>17</v>
      </c>
      <c r="E26" s="196">
        <f>'Ceny składowe'!C7</f>
        <v>4.2</v>
      </c>
      <c r="F26" s="196">
        <f>E26*C26</f>
        <v>4.2000000000000002E-4</v>
      </c>
      <c r="H26" s="163"/>
      <c r="J26" s="451" t="s">
        <v>893</v>
      </c>
      <c r="K26" s="450">
        <f>MATCH(C6, $K$6:$V$6, 1)</f>
        <v>2</v>
      </c>
      <c r="L26" s="163"/>
      <c r="M26" s="74"/>
      <c r="R26" s="175"/>
      <c r="S26" s="175" t="s">
        <v>78</v>
      </c>
      <c r="T26" s="176" t="s">
        <v>73</v>
      </c>
      <c r="U26" s="176" t="s">
        <v>76</v>
      </c>
    </row>
    <row r="27" spans="1:25">
      <c r="A27" s="86" t="s">
        <v>334</v>
      </c>
      <c r="B27" s="165" t="s">
        <v>330</v>
      </c>
      <c r="C27" s="163">
        <f>IF(OR(C5&gt;1000,C6&gt;1000),0.0001,C9)</f>
        <v>2.4</v>
      </c>
      <c r="D27" s="165" t="s">
        <v>2</v>
      </c>
      <c r="E27" s="196">
        <f>'Ceny składowe'!C34</f>
        <v>1.89</v>
      </c>
      <c r="F27" s="196">
        <f>E27*C27</f>
        <v>4.5359999999999996</v>
      </c>
      <c r="G27" s="163"/>
      <c r="H27" s="163"/>
      <c r="J27" s="601" t="s">
        <v>891</v>
      </c>
      <c r="K27" s="601"/>
      <c r="L27" s="600" t="s">
        <v>898</v>
      </c>
      <c r="M27" s="600"/>
      <c r="R27" s="175"/>
      <c r="S27" s="176" t="s">
        <v>82</v>
      </c>
      <c r="T27" s="176" t="s">
        <v>81</v>
      </c>
      <c r="U27" s="176">
        <v>2000</v>
      </c>
    </row>
    <row r="28" spans="1:25" ht="15">
      <c r="A28" s="86" t="s">
        <v>337</v>
      </c>
      <c r="B28" s="165" t="s">
        <v>328</v>
      </c>
      <c r="C28" s="163">
        <f>IF(OR(C5&gt;1000,C6&gt;1000),0.0001,8)</f>
        <v>8</v>
      </c>
      <c r="D28" s="165" t="s">
        <v>10</v>
      </c>
      <c r="E28" s="196">
        <f>'Ceny składowe'!C20</f>
        <v>0.27</v>
      </c>
      <c r="F28" s="196">
        <f>E28*C28</f>
        <v>2.16</v>
      </c>
      <c r="J28" s="451" t="s">
        <v>894</v>
      </c>
      <c r="K28" s="450">
        <f>INDEX($K$7:$V$20, K25, K26)</f>
        <v>205.40299999999999</v>
      </c>
      <c r="L28" s="479" t="s">
        <v>899</v>
      </c>
      <c r="M28" s="74">
        <f>INDEX($J$7:$J$20, K25)</f>
        <v>200</v>
      </c>
      <c r="R28" s="178" t="s">
        <v>9</v>
      </c>
      <c r="S28" s="179" t="s">
        <v>80</v>
      </c>
      <c r="T28" s="179" t="s">
        <v>79</v>
      </c>
      <c r="U28" s="179" t="s">
        <v>83</v>
      </c>
    </row>
    <row r="29" spans="1:25" ht="14.4" customHeight="1">
      <c r="A29" s="86" t="s">
        <v>406</v>
      </c>
      <c r="B29" s="165" t="s">
        <v>331</v>
      </c>
      <c r="C29" s="163">
        <f>IF(OR(C5&gt;1000,C6&gt;1000),C9,0.0001)</f>
        <v>1E-4</v>
      </c>
      <c r="D29" s="159" t="s">
        <v>2</v>
      </c>
      <c r="E29" s="196">
        <f>'Ceny składowe'!C36</f>
        <v>2.92</v>
      </c>
      <c r="F29" s="196">
        <f t="shared" ref="F29:F31" si="7">E29*C29</f>
        <v>2.92E-4</v>
      </c>
      <c r="J29" s="451" t="s">
        <v>895</v>
      </c>
      <c r="K29" s="163">
        <f>INDEX($K$7:$V$20, K25, K26+1)</f>
        <v>248.34700000000001</v>
      </c>
      <c r="L29" s="479" t="s">
        <v>900</v>
      </c>
      <c r="M29" s="74">
        <f>INDEX($J$7:$J$20, K25 + 1)</f>
        <v>400</v>
      </c>
      <c r="R29" s="178" t="s">
        <v>11</v>
      </c>
      <c r="S29" s="179" t="s">
        <v>80</v>
      </c>
      <c r="T29" s="179" t="s">
        <v>79</v>
      </c>
      <c r="U29" s="179" t="s">
        <v>84</v>
      </c>
    </row>
    <row r="30" spans="1:25" ht="15.6" customHeight="1">
      <c r="A30" s="86" t="s">
        <v>336</v>
      </c>
      <c r="B30" s="165" t="s">
        <v>329</v>
      </c>
      <c r="C30" s="163">
        <f>IF(OR(C5&gt;1000,C6&gt;1000),8,0.0001)</f>
        <v>1E-4</v>
      </c>
      <c r="D30" s="159" t="s">
        <v>10</v>
      </c>
      <c r="E30" s="196">
        <f>'Ceny składowe'!C22</f>
        <v>0.75</v>
      </c>
      <c r="F30" s="196">
        <f t="shared" si="7"/>
        <v>7.5000000000000007E-5</v>
      </c>
      <c r="J30" s="451" t="s">
        <v>896</v>
      </c>
      <c r="K30" s="163">
        <f>INDEX($K$7:$V$20, K25+1, K26)</f>
        <v>225.852</v>
      </c>
      <c r="L30" s="479" t="s">
        <v>901</v>
      </c>
      <c r="M30" s="74">
        <f>INDEX($K$6:$V$6, K26)</f>
        <v>200</v>
      </c>
      <c r="R30" s="178" t="s">
        <v>12</v>
      </c>
      <c r="S30" s="179" t="s">
        <v>80</v>
      </c>
      <c r="T30" s="179">
        <v>0</v>
      </c>
      <c r="U30" s="179">
        <v>0</v>
      </c>
    </row>
    <row r="31" spans="1:25">
      <c r="A31" s="86" t="s">
        <v>335</v>
      </c>
      <c r="B31" s="165" t="s">
        <v>9</v>
      </c>
      <c r="C31" s="163">
        <f>IF(C5&lt;1500,F6)+IF(C5&gt;=1500,F6*2)+IF(C5&gt;=2000,F6)+H31</f>
        <v>2</v>
      </c>
      <c r="D31" s="159" t="s">
        <v>10</v>
      </c>
      <c r="E31" s="196">
        <f>'Ceny składowe'!C18</f>
        <v>1.06</v>
      </c>
      <c r="F31" s="196">
        <f t="shared" si="7"/>
        <v>2.12</v>
      </c>
      <c r="G31" s="328" t="b">
        <f>IF(C6&gt;=1400,F6)</f>
        <v>0</v>
      </c>
      <c r="H31" s="328" t="b">
        <f>IF(AND(C5&gt;=1500,C6&gt;=1500),0,G31)</f>
        <v>0</v>
      </c>
      <c r="J31" s="451" t="s">
        <v>897</v>
      </c>
      <c r="K31" s="163">
        <f>INDEX($K$7:$V$20, K25+1, K26+1)</f>
        <v>282.95300000000003</v>
      </c>
      <c r="L31" s="479" t="s">
        <v>902</v>
      </c>
      <c r="M31" s="163">
        <f>INDEX($K$6:$V$6, K26 + 1)</f>
        <v>400</v>
      </c>
      <c r="R31" s="178" t="s">
        <v>13</v>
      </c>
      <c r="S31" s="179" t="s">
        <v>80</v>
      </c>
      <c r="T31" s="179" t="s">
        <v>79</v>
      </c>
      <c r="U31" s="179" t="s">
        <v>83</v>
      </c>
    </row>
    <row r="32" spans="1:25" ht="15" customHeight="1">
      <c r="A32" s="86" t="s">
        <v>340</v>
      </c>
      <c r="B32" s="165" t="s">
        <v>327</v>
      </c>
      <c r="C32" s="163">
        <f>G32</f>
        <v>1</v>
      </c>
      <c r="D32" s="165" t="s">
        <v>10</v>
      </c>
      <c r="E32" s="196">
        <f>'Ceny składowe'!C30</f>
        <v>1.9</v>
      </c>
      <c r="F32" s="196">
        <f>E32*C32</f>
        <v>1.9</v>
      </c>
      <c r="G32" s="328">
        <f>IF(C7="B",1,IF(C7="R",0.0001,IF(C7=0,0.0001)))</f>
        <v>1</v>
      </c>
      <c r="J32" s="592" t="s">
        <v>906</v>
      </c>
      <c r="K32" s="592"/>
      <c r="L32" s="479"/>
      <c r="M32" s="479"/>
      <c r="R32" s="178" t="s">
        <v>14</v>
      </c>
      <c r="S32" s="179">
        <v>1</v>
      </c>
      <c r="T32" s="179">
        <v>1</v>
      </c>
      <c r="U32" s="179">
        <v>1</v>
      </c>
    </row>
    <row r="33" spans="1:21">
      <c r="B33" s="236"/>
      <c r="J33" s="163" t="s">
        <v>903</v>
      </c>
      <c r="K33" s="198">
        <f>K28 + (K30 - K28) * ((C5 - M28) / (M29 - M28))</f>
        <v>220.73975000000002</v>
      </c>
      <c r="L33" s="479"/>
      <c r="M33" s="163"/>
      <c r="R33" s="178" t="s">
        <v>15</v>
      </c>
      <c r="S33" s="179">
        <v>1</v>
      </c>
      <c r="T33" s="179">
        <v>1</v>
      </c>
      <c r="U33" s="179" t="s">
        <v>85</v>
      </c>
    </row>
    <row r="34" spans="1:21" ht="15">
      <c r="J34" s="163" t="s">
        <v>904</v>
      </c>
      <c r="K34" s="452">
        <f>K29 + (K31 - K29) * ((C5 - M28) / (M29 - M28))</f>
        <v>274.30150000000003</v>
      </c>
      <c r="L34" s="451"/>
      <c r="M34" s="74"/>
      <c r="R34" s="178" t="s">
        <v>16</v>
      </c>
      <c r="S34" s="179">
        <v>2</v>
      </c>
      <c r="T34" s="179">
        <v>2</v>
      </c>
      <c r="U34" s="179">
        <v>4</v>
      </c>
    </row>
    <row r="35" spans="1:21" ht="15">
      <c r="C35" s="74" t="s">
        <v>598</v>
      </c>
      <c r="E35" s="180" t="s">
        <v>22</v>
      </c>
      <c r="F35" s="196">
        <f>SUM(F19:F33)</f>
        <v>41.892946999999985</v>
      </c>
      <c r="J35" s="160" t="s">
        <v>905</v>
      </c>
      <c r="K35" s="453">
        <f>K33 + (K34 - K33) * ((C6 - M30) / (M31 - M30))</f>
        <v>234.13018750000003</v>
      </c>
      <c r="L35" s="163"/>
      <c r="M35" s="163"/>
      <c r="R35" s="178" t="s">
        <v>18</v>
      </c>
      <c r="S35" s="179">
        <v>2</v>
      </c>
      <c r="T35" s="179">
        <v>2</v>
      </c>
      <c r="U35" s="179">
        <v>2</v>
      </c>
    </row>
    <row r="36" spans="1:21">
      <c r="A36" s="236" t="s">
        <v>411</v>
      </c>
      <c r="B36" s="237">
        <f>_xlfn.IFS(
    C6&lt;=400,  30,
    C6&lt;=600,  45,
    C6&lt;=900,  60,
    C6&lt;=1200, 80,
    C6&lt;=1400, 100,
    C6&lt;=1600, 120,
    C6&lt;=1800, 140,
    C6&lt;=2000, 160
)</f>
        <v>30</v>
      </c>
      <c r="C36" s="237">
        <f>IF(AND(C5&gt;=1500,C6&gt;=1400),8,IF(AND(C5&gt;=1500,C6&lt;1400),8,IF(AND(C5&lt;1500,C6&gt;=1400),8,IF(AND(C5&lt;1500,C6&lt;1400),5))))</f>
        <v>5</v>
      </c>
      <c r="D36" s="237" t="s">
        <v>412</v>
      </c>
      <c r="E36" s="261">
        <f>'Ceny składowe'!C94</f>
        <v>0.7</v>
      </c>
      <c r="F36" s="238">
        <f>(B36+C36)*E36</f>
        <v>24.5</v>
      </c>
    </row>
    <row r="37" spans="1:21">
      <c r="E37" s="237" t="s">
        <v>413</v>
      </c>
      <c r="F37" s="240">
        <f>F35+F36</f>
        <v>66.392946999999992</v>
      </c>
      <c r="J37" s="196"/>
      <c r="K37" s="196"/>
      <c r="L37" s="196"/>
      <c r="M37" s="196"/>
      <c r="N37" s="196"/>
      <c r="O37" s="1"/>
    </row>
    <row r="38" spans="1:21">
      <c r="E38" s="161"/>
      <c r="G38" s="165"/>
      <c r="H38" s="165"/>
      <c r="J38" s="196"/>
      <c r="K38"/>
      <c r="L38" s="195"/>
      <c r="M38" s="195"/>
      <c r="N38" s="195"/>
      <c r="O38" s="1"/>
    </row>
    <row r="39" spans="1:21">
      <c r="E39" s="161" t="s">
        <v>296</v>
      </c>
      <c r="F39" s="195">
        <f>K35</f>
        <v>234.13018750000003</v>
      </c>
      <c r="G39" s="165"/>
      <c r="H39" s="165"/>
      <c r="J39" s="196"/>
      <c r="K39"/>
      <c r="L39" s="195"/>
      <c r="M39" s="195"/>
      <c r="N39" s="195"/>
    </row>
    <row r="40" spans="1:21">
      <c r="E40" s="74" t="s">
        <v>294</v>
      </c>
      <c r="F40" s="234">
        <f>(F39-F37)/F37</f>
        <v>2.5264316178042234</v>
      </c>
      <c r="G40" s="165"/>
      <c r="H40" s="165"/>
      <c r="J40" s="196"/>
      <c r="K40"/>
      <c r="L40"/>
      <c r="M40"/>
      <c r="N40"/>
    </row>
    <row r="41" spans="1:21" ht="15" customHeight="1">
      <c r="G41" s="165"/>
      <c r="H41" s="165"/>
      <c r="I41" s="165"/>
      <c r="J41" s="196"/>
      <c r="K41"/>
      <c r="L41" s="73"/>
      <c r="M41" s="196"/>
      <c r="N41"/>
    </row>
    <row r="42" spans="1:21">
      <c r="G42" s="165"/>
      <c r="H42" s="165"/>
      <c r="I42" s="165"/>
      <c r="J42" s="196"/>
      <c r="K42"/>
      <c r="L42" s="73"/>
      <c r="M42" s="295"/>
      <c r="N42"/>
    </row>
    <row r="43" spans="1:21" ht="15.75" customHeight="1">
      <c r="B43" s="164" t="s">
        <v>24</v>
      </c>
      <c r="C43" s="163"/>
      <c r="D43" s="163"/>
      <c r="E43" s="165"/>
      <c r="F43" s="165"/>
      <c r="G43" s="165"/>
      <c r="H43" s="165"/>
      <c r="I43" s="165"/>
      <c r="J43" s="196"/>
      <c r="K43" s="196"/>
    </row>
    <row r="44" spans="1:21">
      <c r="B44" s="165"/>
      <c r="C44" s="163"/>
      <c r="D44" s="163"/>
      <c r="E44" s="165"/>
      <c r="F44" s="165"/>
      <c r="G44" s="165"/>
      <c r="H44" s="165"/>
      <c r="I44" s="165"/>
      <c r="J44" s="196"/>
      <c r="K44" s="196"/>
    </row>
    <row r="45" spans="1:21">
      <c r="B45" s="180" t="s">
        <v>1</v>
      </c>
      <c r="C45" s="163">
        <f>'Cennik Produkcja '!D10</f>
        <v>250</v>
      </c>
      <c r="D45" s="163" t="s">
        <v>27</v>
      </c>
      <c r="E45" s="165"/>
      <c r="F45" s="165"/>
      <c r="G45" s="165"/>
      <c r="H45" s="165"/>
      <c r="I45" s="165"/>
      <c r="J45" s="196"/>
      <c r="K45" s="196"/>
    </row>
    <row r="46" spans="1:21">
      <c r="B46" s="180" t="s">
        <v>3</v>
      </c>
      <c r="C46" s="163">
        <f>'Cennik Produkcja '!E10</f>
        <v>200</v>
      </c>
      <c r="D46" s="163" t="s">
        <v>27</v>
      </c>
      <c r="E46" s="165"/>
      <c r="F46" s="165"/>
      <c r="G46" s="165"/>
      <c r="H46" s="165"/>
      <c r="I46" s="165"/>
      <c r="J46" s="163"/>
      <c r="K46" s="163"/>
      <c r="L46" s="163"/>
    </row>
    <row r="47" spans="1:21">
      <c r="B47" s="180" t="s">
        <v>26</v>
      </c>
      <c r="C47" s="163">
        <f>'Cennik Produkcja '!D12</f>
        <v>250</v>
      </c>
      <c r="D47" s="163" t="s">
        <v>27</v>
      </c>
      <c r="E47" s="165"/>
      <c r="F47" s="165"/>
      <c r="G47" s="165"/>
      <c r="H47" s="165"/>
      <c r="I47" s="165"/>
      <c r="J47" s="163"/>
      <c r="K47" s="163"/>
      <c r="L47" s="163"/>
    </row>
    <row r="48" spans="1:21">
      <c r="B48" s="180"/>
      <c r="C48" s="163"/>
      <c r="D48" s="163"/>
      <c r="E48" s="165"/>
      <c r="F48" s="165"/>
      <c r="G48" s="165"/>
      <c r="H48" s="165"/>
      <c r="I48" s="165"/>
      <c r="J48" s="182"/>
      <c r="K48" s="182"/>
      <c r="L48" s="182"/>
      <c r="M48" s="174"/>
      <c r="N48" s="174"/>
      <c r="O48" s="174"/>
    </row>
    <row r="49" spans="1:15">
      <c r="B49" s="180" t="s">
        <v>25</v>
      </c>
      <c r="C49" s="163">
        <f>((C45+C46+C45+C46)*C47)/1000000</f>
        <v>0.22500000000000001</v>
      </c>
      <c r="D49" s="163" t="s">
        <v>19</v>
      </c>
      <c r="E49" s="165"/>
      <c r="F49" s="165"/>
      <c r="G49" s="165"/>
      <c r="H49" s="165"/>
      <c r="I49" s="165"/>
    </row>
    <row r="50" spans="1:15">
      <c r="B50" s="180" t="s">
        <v>28</v>
      </c>
      <c r="C50" s="163">
        <f>((C46*C45)/1000000)*1.1</f>
        <v>5.5000000000000007E-2</v>
      </c>
      <c r="D50" s="163" t="s">
        <v>19</v>
      </c>
      <c r="E50" s="165"/>
      <c r="F50" s="165"/>
      <c r="G50" s="165"/>
      <c r="H50" s="165"/>
      <c r="I50" s="165"/>
      <c r="J50" s="163"/>
      <c r="K50" s="163"/>
      <c r="L50" s="163"/>
    </row>
    <row r="51" spans="1:15">
      <c r="B51" s="165"/>
      <c r="C51" s="163"/>
      <c r="D51" s="163"/>
      <c r="E51" s="165"/>
      <c r="F51" s="165"/>
      <c r="G51" s="165"/>
      <c r="H51" s="165"/>
      <c r="I51" s="165"/>
      <c r="J51" s="163"/>
      <c r="K51" s="163"/>
      <c r="L51" s="163"/>
    </row>
    <row r="52" spans="1:15">
      <c r="A52" s="173" t="s">
        <v>100</v>
      </c>
      <c r="B52" s="160" t="s">
        <v>4</v>
      </c>
      <c r="C52" s="160" t="s">
        <v>5</v>
      </c>
      <c r="D52" s="160"/>
      <c r="E52" s="181" t="s">
        <v>6</v>
      </c>
      <c r="F52" s="181" t="s">
        <v>7</v>
      </c>
      <c r="G52" s="165"/>
      <c r="H52" s="165"/>
      <c r="I52" s="165"/>
      <c r="J52" s="163"/>
      <c r="K52" s="163"/>
      <c r="L52" s="163"/>
      <c r="O52" s="174"/>
    </row>
    <row r="53" spans="1:15">
      <c r="A53" s="86" t="s">
        <v>334</v>
      </c>
      <c r="B53" s="165" t="s">
        <v>20</v>
      </c>
      <c r="C53" s="163">
        <f>(((C45*2)+(C46*2))*2)/1000</f>
        <v>1.8</v>
      </c>
      <c r="D53" s="163" t="s">
        <v>2</v>
      </c>
      <c r="E53" s="196">
        <f>'Ceny składowe'!C34</f>
        <v>1.89</v>
      </c>
      <c r="F53" s="196">
        <f t="shared" ref="F53:F58" si="8">C53*E53</f>
        <v>3.4019999999999997</v>
      </c>
      <c r="G53" s="165"/>
      <c r="H53" s="165"/>
      <c r="I53" s="165"/>
      <c r="J53" s="177"/>
      <c r="K53" s="86"/>
      <c r="L53" s="86"/>
    </row>
    <row r="54" spans="1:15">
      <c r="A54" s="86" t="s">
        <v>105</v>
      </c>
      <c r="B54" s="165" t="s">
        <v>600</v>
      </c>
      <c r="C54" s="163">
        <f>IF(OR(C45&gt;=500,C46&gt;=500),1,0.0001)</f>
        <v>1E-4</v>
      </c>
      <c r="D54" s="163" t="s">
        <v>10</v>
      </c>
      <c r="E54" s="196">
        <f>'Ceny składowe'!C45</f>
        <v>7</v>
      </c>
      <c r="F54" s="196">
        <f t="shared" si="8"/>
        <v>6.9999999999999999E-4</v>
      </c>
      <c r="I54" s="165"/>
      <c r="J54" s="177"/>
      <c r="K54" s="86"/>
      <c r="L54" s="86"/>
    </row>
    <row r="55" spans="1:15">
      <c r="A55" s="86" t="s">
        <v>601</v>
      </c>
      <c r="B55" s="165" t="s">
        <v>602</v>
      </c>
      <c r="C55" s="163">
        <f>IF(AND(C45&lt;500,C46&lt;500),1,0.0001)</f>
        <v>1</v>
      </c>
      <c r="D55" s="163" t="s">
        <v>10</v>
      </c>
      <c r="E55" s="196">
        <f>'Ceny składowe'!C46</f>
        <v>4.9000000000000004</v>
      </c>
      <c r="F55" s="196">
        <f t="shared" si="8"/>
        <v>4.9000000000000004</v>
      </c>
      <c r="I55" s="165"/>
      <c r="J55" s="177"/>
      <c r="K55" s="86"/>
      <c r="L55" s="86"/>
    </row>
    <row r="56" spans="1:15" ht="15" customHeight="1">
      <c r="A56" s="86" t="s">
        <v>337</v>
      </c>
      <c r="B56" s="165" t="s">
        <v>21</v>
      </c>
      <c r="C56" s="163">
        <v>8</v>
      </c>
      <c r="D56" s="163" t="s">
        <v>10</v>
      </c>
      <c r="E56" s="196">
        <f>'Ceny składowe'!C20</f>
        <v>0.27</v>
      </c>
      <c r="F56" s="196">
        <f t="shared" si="8"/>
        <v>2.16</v>
      </c>
      <c r="I56" s="165"/>
      <c r="K56" s="163"/>
    </row>
    <row r="57" spans="1:15">
      <c r="A57" s="86" t="s">
        <v>176</v>
      </c>
      <c r="B57" s="165" t="s">
        <v>62</v>
      </c>
      <c r="C57" s="74">
        <f>(C49+C50)*(8*0.6)</f>
        <v>1.3440000000000001</v>
      </c>
      <c r="D57" s="74" t="s">
        <v>17</v>
      </c>
      <c r="E57" s="196">
        <f>'Ceny składowe'!C6</f>
        <v>4.3</v>
      </c>
      <c r="F57" s="196">
        <f t="shared" si="8"/>
        <v>5.7792000000000003</v>
      </c>
    </row>
    <row r="58" spans="1:15">
      <c r="A58" s="86" t="s">
        <v>333</v>
      </c>
      <c r="B58" s="159" t="s">
        <v>599</v>
      </c>
      <c r="C58" s="74">
        <f>IF(OR(C45&gt;=500,C46&gt;=500),(C45+80)/1000,0.0001)</f>
        <v>1E-4</v>
      </c>
      <c r="D58" s="74" t="s">
        <v>2</v>
      </c>
      <c r="E58" s="196">
        <f>'Ceny składowe'!C31</f>
        <v>6.67</v>
      </c>
      <c r="F58" s="332">
        <f t="shared" si="8"/>
        <v>6.6700000000000006E-4</v>
      </c>
    </row>
    <row r="59" spans="1:15">
      <c r="E59" s="86"/>
      <c r="F59" s="86"/>
    </row>
    <row r="60" spans="1:15">
      <c r="E60" s="86"/>
      <c r="F60" s="86"/>
      <c r="O60" s="86"/>
    </row>
    <row r="61" spans="1:15">
      <c r="E61" s="86"/>
      <c r="F61" s="86"/>
      <c r="K61" s="86"/>
      <c r="L61" s="86"/>
      <c r="M61" s="162"/>
      <c r="N61" s="162"/>
      <c r="O61" s="86"/>
    </row>
    <row r="62" spans="1:15">
      <c r="E62" s="180" t="s">
        <v>22</v>
      </c>
      <c r="F62" s="196">
        <f>SUM(F53:F59)</f>
        <v>16.242567000000001</v>
      </c>
      <c r="K62" s="86"/>
      <c r="L62" s="86"/>
      <c r="M62" s="162"/>
      <c r="N62" s="162"/>
      <c r="O62" s="86"/>
    </row>
    <row r="63" spans="1:15">
      <c r="B63" s="236" t="s">
        <v>411</v>
      </c>
      <c r="C63" s="237">
        <f>IF(AND(C45&lt;=150,C46&lt;=150),25,IF(AND(C45&lt;=300,C46&lt;=300),30,IF(AND(C45&lt;=300,C46&gt;300),35,IF(AND(C45&gt;300,C46&lt;=300),35,IF(AND(C45&lt;=500,C46&lt;=500),40,IF(AND(C45&lt;=500,C46&gt;500),45,IF(AND(C45&gt;500,C46&lt;=500),45,IF(AND(C45&gt;500,C46&gt;500),50))))))))</f>
        <v>30</v>
      </c>
      <c r="D63" s="237" t="s">
        <v>412</v>
      </c>
      <c r="E63" s="261">
        <f>'Ceny składowe'!C94</f>
        <v>0.7</v>
      </c>
      <c r="F63" s="239">
        <f>C63*E63</f>
        <v>21</v>
      </c>
      <c r="K63" s="86"/>
      <c r="L63" s="86"/>
      <c r="M63" s="162"/>
      <c r="N63" s="162"/>
      <c r="O63" s="86"/>
    </row>
    <row r="64" spans="1:15">
      <c r="E64" s="237" t="s">
        <v>413</v>
      </c>
      <c r="F64" s="240">
        <f>F62+F63</f>
        <v>37.242567000000001</v>
      </c>
      <c r="K64" s="86"/>
      <c r="L64" s="86"/>
      <c r="M64" s="162"/>
      <c r="N64" s="162"/>
      <c r="O64" s="86"/>
    </row>
    <row r="65" spans="3:15">
      <c r="C65" s="163"/>
      <c r="D65" s="163"/>
      <c r="E65" s="183"/>
      <c r="F65" s="197"/>
      <c r="K65" s="86"/>
      <c r="L65" s="86"/>
      <c r="M65" s="162"/>
      <c r="N65" s="162"/>
      <c r="O65" s="86"/>
    </row>
    <row r="66" spans="3:15">
      <c r="E66" s="184" t="s">
        <v>518</v>
      </c>
      <c r="F66" s="195">
        <f>IF(OR(C45&lt;=100,C46&lt;=100),F62*5.4,IF(OR(C45&lt;=200,C46&lt;=200),F62*5.1,IF(OR(C45&lt;=300,C46&lt;=300),F62*4.55,IF(OR(C45&lt;=400,C46&lt;=400),F62*4.35,IF(OR(C45&lt;=500,C46&lt;=500),F62*4,IF(OR(C45&gt;500,C46&gt;500),F62*3.8))))))</f>
        <v>82.837091700000002</v>
      </c>
      <c r="K66" s="86"/>
      <c r="L66" s="86"/>
      <c r="M66" s="162"/>
      <c r="N66" s="162"/>
      <c r="O66" s="86"/>
    </row>
    <row r="67" spans="3:15">
      <c r="E67" s="161" t="s">
        <v>294</v>
      </c>
      <c r="F67" s="286">
        <f>(F66-F64)/F64</f>
        <v>1.2242583788598675</v>
      </c>
      <c r="K67" s="86"/>
      <c r="L67" s="86"/>
      <c r="M67" s="162"/>
      <c r="N67" s="162"/>
    </row>
    <row r="70" spans="3:15">
      <c r="E70" s="184"/>
    </row>
    <row r="71" spans="3:15">
      <c r="E71" s="184"/>
    </row>
    <row r="72" spans="3:15">
      <c r="E72" s="161"/>
      <c r="F72" s="185"/>
    </row>
  </sheetData>
  <mergeCells count="9">
    <mergeCell ref="J32:K32"/>
    <mergeCell ref="S25:U25"/>
    <mergeCell ref="I3:T3"/>
    <mergeCell ref="I4:T4"/>
    <mergeCell ref="K5:U5"/>
    <mergeCell ref="L27:M27"/>
    <mergeCell ref="J27:K27"/>
    <mergeCell ref="J24:K24"/>
    <mergeCell ref="I7:I19"/>
  </mergeCells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B29" sqref="B29"/>
    </sheetView>
  </sheetViews>
  <sheetFormatPr defaultRowHeight="14.4"/>
  <cols>
    <col min="1" max="1" width="22.88671875" customWidth="1"/>
    <col min="2" max="2" width="30.5546875" customWidth="1"/>
    <col min="3" max="3" width="12" bestFit="1" customWidth="1"/>
    <col min="5" max="6" width="12.44140625" customWidth="1"/>
  </cols>
  <sheetData>
    <row r="1" spans="1:7">
      <c r="B1" s="54" t="s">
        <v>589</v>
      </c>
    </row>
    <row r="2" spans="1:7">
      <c r="A2" s="99" t="s">
        <v>238</v>
      </c>
      <c r="B2" s="99" t="s">
        <v>237</v>
      </c>
      <c r="E2" s="1" t="s">
        <v>266</v>
      </c>
      <c r="F2" s="121" t="s">
        <v>267</v>
      </c>
      <c r="G2" s="2"/>
    </row>
    <row r="3" spans="1:7">
      <c r="A3">
        <v>100</v>
      </c>
      <c r="B3" s="86">
        <v>1</v>
      </c>
      <c r="C3" t="s">
        <v>17</v>
      </c>
      <c r="D3">
        <f>IF('Cennik Produkcja '!$D$270='Wywietrzak cylindryczny'!A3,'Wywietrzak cylindryczny'!B3,0)</f>
        <v>0</v>
      </c>
      <c r="E3" s="2">
        <v>228.71</v>
      </c>
      <c r="F3" s="122">
        <v>32.68</v>
      </c>
      <c r="G3" s="2"/>
    </row>
    <row r="4" spans="1:7">
      <c r="A4">
        <v>125</v>
      </c>
      <c r="B4" s="86">
        <v>1.4</v>
      </c>
      <c r="C4" t="s">
        <v>17</v>
      </c>
      <c r="D4">
        <f>IF('Cennik Produkcja '!$D$270='Wywietrzak cylindryczny'!A4,'Wywietrzak cylindryczny'!B4,0)</f>
        <v>0</v>
      </c>
      <c r="E4" s="2">
        <v>243.86</v>
      </c>
      <c r="F4" s="122">
        <v>24.97</v>
      </c>
      <c r="G4" s="2"/>
    </row>
    <row r="5" spans="1:7">
      <c r="A5">
        <v>160</v>
      </c>
      <c r="B5" s="86">
        <v>2</v>
      </c>
      <c r="C5" t="s">
        <v>17</v>
      </c>
      <c r="D5">
        <f>IF('Cennik Produkcja '!$D$270='Wywietrzak cylindryczny'!A5,'Wywietrzak cylindryczny'!B5,0)</f>
        <v>0</v>
      </c>
      <c r="E5" s="2">
        <v>266.85000000000002</v>
      </c>
      <c r="F5" s="122">
        <v>19.079999999999998</v>
      </c>
      <c r="G5" s="2"/>
    </row>
    <row r="6" spans="1:7">
      <c r="A6">
        <v>200</v>
      </c>
      <c r="B6" s="86">
        <v>3.1</v>
      </c>
      <c r="C6" t="s">
        <v>17</v>
      </c>
      <c r="D6">
        <f>IF('Cennik Produkcja '!$D$270='Wywietrzak cylindryczny'!A6,'Wywietrzak cylindryczny'!B6,0)</f>
        <v>3.1</v>
      </c>
      <c r="E6" s="2">
        <v>295.89999999999998</v>
      </c>
      <c r="F6" s="122">
        <v>13.51</v>
      </c>
      <c r="G6" s="2"/>
    </row>
    <row r="7" spans="1:7">
      <c r="A7">
        <v>250</v>
      </c>
      <c r="B7" s="86">
        <v>5</v>
      </c>
      <c r="C7" t="s">
        <v>17</v>
      </c>
      <c r="D7">
        <f>IF('Cennik Produkcja '!$D$270='Wywietrzak cylindryczny'!A7,'Wywietrzak cylindryczny'!B7,0)</f>
        <v>0</v>
      </c>
      <c r="E7" s="2">
        <v>342.48</v>
      </c>
      <c r="F7" s="122">
        <v>9.35</v>
      </c>
      <c r="G7" s="2"/>
    </row>
    <row r="8" spans="1:7">
      <c r="A8">
        <v>315</v>
      </c>
      <c r="B8" s="86">
        <v>8.1999999999999993</v>
      </c>
      <c r="C8" t="s">
        <v>17</v>
      </c>
      <c r="D8">
        <f>IF('Cennik Produkcja '!$D$270='Wywietrzak cylindryczny'!A8,'Wywietrzak cylindryczny'!B8,0)</f>
        <v>0</v>
      </c>
      <c r="E8" s="2">
        <v>414.14</v>
      </c>
      <c r="F8" s="122">
        <v>6.57</v>
      </c>
      <c r="G8" s="2"/>
    </row>
    <row r="9" spans="1:7">
      <c r="A9">
        <v>355</v>
      </c>
      <c r="B9" s="86">
        <v>10.5</v>
      </c>
      <c r="C9" t="s">
        <v>17</v>
      </c>
      <c r="D9">
        <f>IF('Cennik Produkcja '!$D$270='Wywietrzak cylindryczny'!A9,'Wywietrzak cylindryczny'!B9,0)</f>
        <v>0</v>
      </c>
      <c r="E9" s="2">
        <v>663.77</v>
      </c>
      <c r="F9" s="122">
        <v>9.1999999999999993</v>
      </c>
      <c r="G9" s="2"/>
    </row>
    <row r="10" spans="1:7">
      <c r="A10">
        <v>400</v>
      </c>
      <c r="B10" s="86">
        <v>13.9</v>
      </c>
      <c r="C10" t="s">
        <v>17</v>
      </c>
      <c r="D10">
        <f>IF('Cennik Produkcja '!$D$270='Wywietrzak cylindryczny'!A10,'Wywietrzak cylindryczny'!B10,0)</f>
        <v>0</v>
      </c>
      <c r="E10" s="2">
        <v>734.11</v>
      </c>
      <c r="F10" s="122">
        <v>7.55</v>
      </c>
      <c r="G10" s="2"/>
    </row>
    <row r="11" spans="1:7">
      <c r="A11">
        <v>450</v>
      </c>
      <c r="B11" s="86">
        <v>15.7</v>
      </c>
      <c r="C11" t="s">
        <v>17</v>
      </c>
      <c r="D11">
        <f>IF('Cennik Produkcja '!$D$270='Wywietrzak cylindryczny'!A11,'Wywietrzak cylindryczny'!B11,0)</f>
        <v>0</v>
      </c>
      <c r="E11" s="2">
        <v>843.34</v>
      </c>
      <c r="F11" s="122">
        <v>7.64</v>
      </c>
      <c r="G11" s="2"/>
    </row>
    <row r="12" spans="1:7">
      <c r="A12">
        <v>500</v>
      </c>
      <c r="B12" s="86">
        <v>19.899999999999999</v>
      </c>
      <c r="C12" t="s">
        <v>17</v>
      </c>
      <c r="D12">
        <f>IF('Cennik Produkcja '!$D$270='Wywietrzak cylindryczny'!A12,'Wywietrzak cylindryczny'!B12,0)</f>
        <v>0</v>
      </c>
      <c r="E12" s="2">
        <v>1012.17</v>
      </c>
      <c r="F12" s="122">
        <v>7.22</v>
      </c>
      <c r="G12" s="2"/>
    </row>
    <row r="13" spans="1:7">
      <c r="A13">
        <v>630</v>
      </c>
      <c r="B13" s="86">
        <v>38.4</v>
      </c>
      <c r="C13" t="s">
        <v>17</v>
      </c>
      <c r="D13">
        <f>IF('Cennik Produkcja '!$D$270='Wywietrzak cylindryczny'!A13,'Wywietrzak cylindryczny'!B13,0)</f>
        <v>0</v>
      </c>
      <c r="E13" s="2">
        <v>1593.08</v>
      </c>
      <c r="F13" s="122">
        <v>5.93</v>
      </c>
      <c r="G13" s="2"/>
    </row>
    <row r="14" spans="1:7">
      <c r="A14">
        <v>710</v>
      </c>
      <c r="B14" s="86">
        <v>51</v>
      </c>
      <c r="C14" t="s">
        <v>17</v>
      </c>
      <c r="D14">
        <f>IF('Cennik Produkcja '!$D$270='Wywietrzak cylindryczny'!A14,'Wywietrzak cylindryczny'!B14,0)</f>
        <v>0</v>
      </c>
      <c r="E14" s="2">
        <v>0</v>
      </c>
      <c r="F14" s="122"/>
      <c r="G14" s="2"/>
    </row>
    <row r="15" spans="1:7">
      <c r="A15">
        <v>800</v>
      </c>
      <c r="B15" s="86">
        <v>63.6</v>
      </c>
      <c r="C15" t="s">
        <v>17</v>
      </c>
      <c r="D15">
        <f>IF('Cennik Produkcja '!$D$270='Wywietrzak cylindryczny'!A15,'Wywietrzak cylindryczny'!B15,0)</f>
        <v>0</v>
      </c>
      <c r="E15" s="2">
        <v>0</v>
      </c>
      <c r="F15" s="122"/>
      <c r="G15" s="2"/>
    </row>
    <row r="17" spans="1:6">
      <c r="C17" t="s">
        <v>236</v>
      </c>
      <c r="D17">
        <f>SUM(D3:D16)</f>
        <v>3.1</v>
      </c>
    </row>
    <row r="21" spans="1:6">
      <c r="A21" s="73" t="s">
        <v>100</v>
      </c>
      <c r="B21" s="10" t="s">
        <v>4</v>
      </c>
      <c r="C21" s="10" t="s">
        <v>5</v>
      </c>
      <c r="D21" s="11"/>
      <c r="E21" s="13" t="s">
        <v>6</v>
      </c>
      <c r="F21" s="13" t="s">
        <v>7</v>
      </c>
    </row>
    <row r="22" spans="1:6">
      <c r="A22" s="49" t="s">
        <v>176</v>
      </c>
      <c r="B22" t="s">
        <v>62</v>
      </c>
      <c r="C22" s="70">
        <f>D17</f>
        <v>3.1</v>
      </c>
      <c r="D22" t="s">
        <v>17</v>
      </c>
      <c r="E22" s="199">
        <f>'Ceny składowe'!C6</f>
        <v>4.3</v>
      </c>
      <c r="F22" s="199">
        <f>C22*E22</f>
        <v>13.33</v>
      </c>
    </row>
    <row r="23" spans="1:6">
      <c r="A23" t="s">
        <v>617</v>
      </c>
      <c r="B23" t="s">
        <v>765</v>
      </c>
      <c r="C23" s="86">
        <f>IF('Cennik Produkcja '!D270&lt;=125,6,IF('Cennik Produkcja '!D270&lt;=250,8,IF('Cennik Produkcja '!D270&gt;=315,12)))/681</f>
        <v>1.1747430249632892E-2</v>
      </c>
      <c r="D23" t="s">
        <v>17</v>
      </c>
      <c r="E23" s="196">
        <f>'Ceny składowe'!C58</f>
        <v>17.899999999999999</v>
      </c>
      <c r="F23" s="196">
        <f>C23*E23</f>
        <v>0.21027900146842876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R85"/>
  <sheetViews>
    <sheetView topLeftCell="A55" workbookViewId="0">
      <selection activeCell="B86" sqref="B86"/>
    </sheetView>
  </sheetViews>
  <sheetFormatPr defaultColWidth="9.109375" defaultRowHeight="14.4"/>
  <cols>
    <col min="1" max="1" width="23.44140625" customWidth="1"/>
    <col min="2" max="2" width="36.5546875" customWidth="1"/>
    <col min="3" max="3" width="13.109375" customWidth="1"/>
    <col min="5" max="5" width="16" customWidth="1"/>
    <col min="6" max="6" width="11.33203125" customWidth="1"/>
    <col min="7" max="7" width="14.6640625" customWidth="1"/>
    <col min="8" max="8" width="15" customWidth="1"/>
    <col min="9" max="9" width="14.6640625" customWidth="1"/>
    <col min="10" max="10" width="14.88671875" customWidth="1"/>
    <col min="11" max="11" width="14.44140625" customWidth="1"/>
    <col min="12" max="12" width="13.88671875" customWidth="1"/>
    <col min="13" max="13" width="11.5546875" customWidth="1"/>
    <col min="14" max="14" width="11.6640625" customWidth="1"/>
    <col min="15" max="15" width="12.109375" customWidth="1"/>
    <col min="16" max="16" width="10.88671875" customWidth="1"/>
    <col min="17" max="17" width="11.6640625" customWidth="1"/>
    <col min="18" max="18" width="10" customWidth="1"/>
    <col min="19" max="19" width="11.6640625" customWidth="1"/>
    <col min="20" max="20" width="17.33203125" customWidth="1"/>
    <col min="21" max="21" width="20.33203125" customWidth="1"/>
    <col min="22" max="22" width="15.6640625" customWidth="1"/>
    <col min="27" max="27" width="11.6640625" customWidth="1"/>
    <col min="28" max="29" width="10.33203125" customWidth="1"/>
    <col min="30" max="30" width="11.6640625" customWidth="1"/>
    <col min="31" max="31" width="10.6640625" customWidth="1"/>
    <col min="32" max="32" width="11.6640625" customWidth="1"/>
  </cols>
  <sheetData>
    <row r="2" spans="1:15">
      <c r="B2" s="118" t="s">
        <v>697</v>
      </c>
      <c r="C2" s="116"/>
      <c r="D2" s="116"/>
      <c r="E2" s="116"/>
      <c r="F2" s="116"/>
      <c r="G2" s="116"/>
      <c r="J2" s="177" t="s">
        <v>45</v>
      </c>
      <c r="K2" s="54" t="s">
        <v>296</v>
      </c>
      <c r="L2" s="54" t="s">
        <v>644</v>
      </c>
      <c r="M2" s="54" t="s">
        <v>645</v>
      </c>
      <c r="N2" s="54" t="s">
        <v>641</v>
      </c>
      <c r="O2" s="54"/>
    </row>
    <row r="3" spans="1:15">
      <c r="B3" s="116"/>
      <c r="C3" s="116"/>
      <c r="D3" s="116"/>
      <c r="E3" s="116"/>
      <c r="F3" s="116"/>
      <c r="G3" s="116"/>
      <c r="J3" s="337">
        <v>2.6549999999999998</v>
      </c>
      <c r="K3" s="196">
        <f>ROUND(F21*(1+J3),2)</f>
        <v>69.349999999999994</v>
      </c>
      <c r="L3" s="196">
        <f>IF(C4&lt;=250,K3,0)</f>
        <v>69.349999999999994</v>
      </c>
      <c r="M3" s="196">
        <f>IF(C5&lt;=250,K3,0)</f>
        <v>69.349999999999994</v>
      </c>
      <c r="N3">
        <f t="shared" ref="N3:N5" si="0">IF(AND(L3&gt;0,M3&gt;0),L3)</f>
        <v>69.349999999999994</v>
      </c>
    </row>
    <row r="4" spans="1:15">
      <c r="B4" s="116" t="s">
        <v>1</v>
      </c>
      <c r="C4" s="117">
        <f>'Cennik Produkcja '!D16</f>
        <v>250</v>
      </c>
      <c r="D4" s="116" t="s">
        <v>27</v>
      </c>
      <c r="E4" s="116"/>
      <c r="F4" s="116"/>
      <c r="G4" s="116"/>
      <c r="J4" s="338">
        <v>2.2290000000000001</v>
      </c>
      <c r="K4" s="196">
        <f>ROUND(F21*(1+J4),2)</f>
        <v>61.27</v>
      </c>
      <c r="L4" s="196">
        <f>IF(AND(C4&lt;=300,C4&gt;250),K4,0)</f>
        <v>0</v>
      </c>
      <c r="M4" s="196">
        <f>IF(AND(C5&lt;=300,C5&gt;250),K4,0)</f>
        <v>0</v>
      </c>
      <c r="N4" t="b">
        <f t="shared" si="0"/>
        <v>0</v>
      </c>
    </row>
    <row r="5" spans="1:15">
      <c r="B5" s="116" t="s">
        <v>3</v>
      </c>
      <c r="C5" s="117">
        <f>'Cennik Produkcja '!E16</f>
        <v>150</v>
      </c>
      <c r="D5" s="116" t="s">
        <v>27</v>
      </c>
      <c r="E5" s="116"/>
      <c r="F5" s="116"/>
      <c r="G5" s="116"/>
      <c r="J5" s="339">
        <v>1.8498000000000001</v>
      </c>
      <c r="K5" s="196">
        <f>ROUND(F21*(1+J5),2)</f>
        <v>54.07</v>
      </c>
      <c r="L5" s="196">
        <f>IF(AND(C4&lt;=400,C4&gt;300),K5,0)</f>
        <v>0</v>
      </c>
      <c r="M5" s="196">
        <f>IF(AND(C5&lt;=400,C5&gt;300),K5,0)</f>
        <v>0</v>
      </c>
      <c r="N5" t="b">
        <f t="shared" si="0"/>
        <v>0</v>
      </c>
    </row>
    <row r="6" spans="1:15">
      <c r="B6" s="116"/>
      <c r="C6" s="116"/>
      <c r="D6" s="116"/>
      <c r="E6" s="116"/>
      <c r="F6" s="116"/>
      <c r="G6" s="116"/>
      <c r="J6" s="361">
        <v>1.7068000000000001</v>
      </c>
      <c r="K6" s="196">
        <f>ROUND(F21*(1+J6),2)</f>
        <v>51.36</v>
      </c>
      <c r="L6" s="196">
        <f>IF(AND(C4&lt;=500,C4&gt;400),K6,0)</f>
        <v>0</v>
      </c>
      <c r="M6" s="196">
        <f>IF(AND(C5&lt;=500,C5&gt;400),K6,0)</f>
        <v>0</v>
      </c>
      <c r="N6" t="b">
        <f>IF(AND(L6&gt;0,M6&gt;0),L6)</f>
        <v>0</v>
      </c>
    </row>
    <row r="7" spans="1:15">
      <c r="B7" s="116" t="s">
        <v>707</v>
      </c>
      <c r="C7" s="378">
        <f>(C4*C5)/1000000</f>
        <v>3.7499999999999999E-2</v>
      </c>
      <c r="D7" s="116" t="s">
        <v>19</v>
      </c>
      <c r="E7" s="116"/>
      <c r="F7" s="116"/>
      <c r="G7" s="116"/>
      <c r="J7" s="362">
        <v>1.5209999999999999</v>
      </c>
      <c r="K7" s="196">
        <f>ROUND(F21*(1+J7),2)</f>
        <v>47.83</v>
      </c>
      <c r="L7" s="196">
        <f>IF(AND(C4&lt;=600,C4&gt;500),K7,0)</f>
        <v>0</v>
      </c>
      <c r="M7" s="196">
        <f>IF(AND(C5&lt;=600,C5&gt;500),K7,0)</f>
        <v>0</v>
      </c>
      <c r="N7" t="b">
        <f t="shared" ref="N7:N16" si="1">IF(AND(L7&gt;0,M7&gt;0),L7)</f>
        <v>0</v>
      </c>
    </row>
    <row r="8" spans="1:15">
      <c r="B8" s="116"/>
      <c r="C8" s="116"/>
      <c r="D8" s="116"/>
      <c r="E8" s="116"/>
      <c r="F8" s="116"/>
      <c r="G8" s="116"/>
      <c r="J8" s="342">
        <v>1.462</v>
      </c>
      <c r="K8" s="196">
        <f>ROUND(F21*(1+J8),2)</f>
        <v>46.72</v>
      </c>
      <c r="L8" s="196">
        <f>IF(AND(C4&lt;=700,C4&gt;600),K8,0)</f>
        <v>0</v>
      </c>
      <c r="M8" s="196">
        <f>IF(AND(C5&lt;=700,C5&gt;600),K8,0)</f>
        <v>0</v>
      </c>
      <c r="N8" t="b">
        <f t="shared" si="1"/>
        <v>0</v>
      </c>
    </row>
    <row r="9" spans="1:15">
      <c r="G9" s="116"/>
      <c r="J9" s="343">
        <v>1.3712</v>
      </c>
      <c r="K9" s="196">
        <f>ROUND(F21*(1+J9),2)</f>
        <v>44.99</v>
      </c>
      <c r="L9" s="196">
        <f>IF(AND(C4&lt;=800,C4&gt;700),K9,0)</f>
        <v>0</v>
      </c>
      <c r="M9" s="196">
        <f>IF(AND(C5&lt;=800,C5&gt;700),K9,0)</f>
        <v>0</v>
      </c>
      <c r="N9" t="b">
        <f t="shared" si="1"/>
        <v>0</v>
      </c>
    </row>
    <row r="10" spans="1:15">
      <c r="A10" s="73" t="s">
        <v>100</v>
      </c>
      <c r="B10" s="118" t="s">
        <v>4</v>
      </c>
      <c r="C10" s="118" t="s">
        <v>5</v>
      </c>
      <c r="D10" s="118"/>
      <c r="E10" s="118" t="s">
        <v>6</v>
      </c>
      <c r="F10" s="118" t="s">
        <v>7</v>
      </c>
      <c r="G10" s="116"/>
      <c r="J10" s="344">
        <v>1.3304</v>
      </c>
      <c r="K10" s="196">
        <f>ROUND(F21*(1+J10),2)</f>
        <v>44.22</v>
      </c>
      <c r="L10" s="196">
        <f>IF(AND(C4&lt;=900,C4&gt;800),K10,0)</f>
        <v>0</v>
      </c>
      <c r="M10" s="196">
        <f>IF(AND(C5&lt;=900,C5&gt;800),K10,0)</f>
        <v>0</v>
      </c>
      <c r="N10" t="b">
        <f t="shared" si="1"/>
        <v>0</v>
      </c>
    </row>
    <row r="11" spans="1:15">
      <c r="A11" t="s">
        <v>338</v>
      </c>
      <c r="B11" s="116" t="s">
        <v>30</v>
      </c>
      <c r="C11" s="271">
        <f>(C4*2)/1000</f>
        <v>0.5</v>
      </c>
      <c r="D11" s="116" t="s">
        <v>2</v>
      </c>
      <c r="E11" s="198">
        <f>'Ceny składowe'!C38</f>
        <v>10.9</v>
      </c>
      <c r="F11" s="198">
        <f t="shared" ref="F11:F14" si="2">C11*E11</f>
        <v>5.45</v>
      </c>
      <c r="G11" s="116"/>
      <c r="J11" s="345">
        <v>1.2572000000000001</v>
      </c>
      <c r="K11" s="196">
        <f>ROUND(F21*(1+J11),2)</f>
        <v>42.83</v>
      </c>
      <c r="L11" s="196">
        <f>IF(AND(C4&lt;=1000,C4&gt;900),K11,0)</f>
        <v>0</v>
      </c>
      <c r="M11" s="196">
        <f>IF(AND(C5&lt;=1000,C5&gt;900),K11,0)</f>
        <v>0</v>
      </c>
      <c r="N11" t="b">
        <f t="shared" si="1"/>
        <v>0</v>
      </c>
    </row>
    <row r="12" spans="1:15">
      <c r="A12" t="s">
        <v>107</v>
      </c>
      <c r="B12" s="116" t="s">
        <v>31</v>
      </c>
      <c r="C12" s="271">
        <f>(C5*2)/1000</f>
        <v>0.3</v>
      </c>
      <c r="D12" s="116" t="s">
        <v>2</v>
      </c>
      <c r="E12" s="198">
        <f>'Ceny składowe'!C39</f>
        <v>11.9</v>
      </c>
      <c r="F12" s="198">
        <f>C12*E12</f>
        <v>3.57</v>
      </c>
      <c r="G12" s="116"/>
      <c r="J12" s="346">
        <v>1.1319999999999999</v>
      </c>
      <c r="K12" s="196">
        <f>ROUND(F21*(1+J12),2)</f>
        <v>40.450000000000003</v>
      </c>
      <c r="L12" s="196">
        <f>IF(AND(C4&lt;=1200,C4&gt;1000),K12,0)</f>
        <v>0</v>
      </c>
      <c r="M12" s="196">
        <f>IF(AND(C5&lt;=1200,C5&gt;1000),K12,0)</f>
        <v>0</v>
      </c>
      <c r="N12" t="b">
        <f t="shared" si="1"/>
        <v>0</v>
      </c>
    </row>
    <row r="13" spans="1:15">
      <c r="A13" t="s">
        <v>98</v>
      </c>
      <c r="B13" s="116" t="s">
        <v>423</v>
      </c>
      <c r="C13" s="257">
        <f>((C5/65)*C4)/1000</f>
        <v>0.57692307692307687</v>
      </c>
      <c r="D13" s="116" t="s">
        <v>2</v>
      </c>
      <c r="E13" s="198">
        <f>'Ceny składowe'!C33</f>
        <v>7.29</v>
      </c>
      <c r="F13" s="198">
        <f>C13*E13</f>
        <v>4.2057692307692305</v>
      </c>
      <c r="J13" s="347">
        <v>1.101</v>
      </c>
      <c r="K13" s="196">
        <f>ROUND(F21*(1+J13),2)</f>
        <v>39.869999999999997</v>
      </c>
      <c r="L13" s="196">
        <f>IF(AND(C4&lt;=1500,C4&gt;1200),K13,0)</f>
        <v>0</v>
      </c>
      <c r="M13" s="196">
        <f>IF(AND(C5&lt;=1500,C5&gt;1200),K13,0)</f>
        <v>0</v>
      </c>
      <c r="N13" t="b">
        <f t="shared" si="1"/>
        <v>0</v>
      </c>
    </row>
    <row r="14" spans="1:15">
      <c r="A14" t="s">
        <v>99</v>
      </c>
      <c r="B14" s="116" t="s">
        <v>33</v>
      </c>
      <c r="C14" s="9">
        <v>4</v>
      </c>
      <c r="D14" s="116" t="s">
        <v>10</v>
      </c>
      <c r="E14" s="198">
        <f>'Ceny składowe'!C24</f>
        <v>1.1000000000000001</v>
      </c>
      <c r="F14" s="198">
        <f t="shared" si="2"/>
        <v>4.4000000000000004</v>
      </c>
      <c r="G14" s="116"/>
      <c r="J14" s="348">
        <v>1.1364000000000001</v>
      </c>
      <c r="K14" s="196">
        <f>ROUND(F21*(1+J14),2)</f>
        <v>40.54</v>
      </c>
      <c r="L14" s="196">
        <f>IF(AND(C4&lt;=1800,C4&gt;1500),K14,0)</f>
        <v>0</v>
      </c>
      <c r="M14" s="196">
        <f>IF(AND(C5&lt;=1800,C5&gt;1500),K14,0)</f>
        <v>0</v>
      </c>
      <c r="N14" t="b">
        <f t="shared" si="1"/>
        <v>0</v>
      </c>
    </row>
    <row r="15" spans="1:15">
      <c r="A15" t="s">
        <v>149</v>
      </c>
      <c r="B15" s="116" t="s">
        <v>705</v>
      </c>
      <c r="C15" s="86">
        <f>IF(AND(C4&lt;=1000,C5&gt;1000),C7,IF(AND(C4&gt;1000,C5&lt;=1000),C7,IF(AND(C4&lt;=1000,C5&lt;=1000),C7,IF(AND(C4&gt;1000,C5&gt;1000),0.0001))))</f>
        <v>3.7499999999999999E-2</v>
      </c>
      <c r="D15" s="116" t="s">
        <v>961</v>
      </c>
      <c r="E15" s="198">
        <f>'Ceny składowe'!C42</f>
        <v>17.2</v>
      </c>
      <c r="F15" s="198">
        <f>C15*E15</f>
        <v>0.64499999999999991</v>
      </c>
      <c r="G15" s="116"/>
      <c r="J15" s="349">
        <v>1.0805</v>
      </c>
      <c r="K15" s="196">
        <f>ROUND(F21*(1+J15),2)</f>
        <v>39.479999999999997</v>
      </c>
      <c r="L15" s="196">
        <f>IF(AND(C4&lt;=2000,C4&gt;1800),K15,0)</f>
        <v>0</v>
      </c>
      <c r="M15" s="196">
        <f>IF(AND(C5&lt;=2000,C5&gt;1800),K15,0)</f>
        <v>0</v>
      </c>
      <c r="N15" t="b">
        <f t="shared" si="1"/>
        <v>0</v>
      </c>
    </row>
    <row r="16" spans="1:15">
      <c r="A16" t="s">
        <v>702</v>
      </c>
      <c r="B16" s="116" t="s">
        <v>706</v>
      </c>
      <c r="C16" s="249">
        <f>IF(AND(C4&gt;1000,C5&gt;1000),C7/1.4,IF(AND(C4&lt;=1000,C5&gt;1000),0.0001,IF(AND(C4&gt;1000,C5&lt;=1000),0.0001,IF(AND(C4&lt;=1000,C5&lt;=1000),0.0001))))</f>
        <v>1E-4</v>
      </c>
      <c r="D16" s="116" t="s">
        <v>2</v>
      </c>
      <c r="E16" s="195">
        <f>'Ceny składowe'!C41</f>
        <v>24.39</v>
      </c>
      <c r="F16" s="195">
        <f>C16*E16</f>
        <v>2.4390000000000002E-3</v>
      </c>
      <c r="G16" s="116"/>
      <c r="J16" s="351">
        <v>1.03</v>
      </c>
      <c r="K16" s="196">
        <f>ROUND(F21*(1+J16),2)</f>
        <v>38.520000000000003</v>
      </c>
      <c r="L16" s="196">
        <f>IF(C4&gt;2000,K16,0)</f>
        <v>0</v>
      </c>
      <c r="M16" s="196">
        <f>IF(C5&gt;2000,K16,0)</f>
        <v>0</v>
      </c>
      <c r="N16" t="b">
        <f t="shared" si="1"/>
        <v>0</v>
      </c>
    </row>
    <row r="17" spans="1:17">
      <c r="A17" t="s">
        <v>617</v>
      </c>
      <c r="B17" s="116" t="s">
        <v>618</v>
      </c>
      <c r="C17" s="257">
        <f>8/681</f>
        <v>1.1747430249632892E-2</v>
      </c>
      <c r="D17" s="116" t="s">
        <v>17</v>
      </c>
      <c r="E17" s="197">
        <f>'Ceny składowe'!C57</f>
        <v>15.91</v>
      </c>
      <c r="F17" s="195">
        <f>C17*E17</f>
        <v>0.18690161527165933</v>
      </c>
      <c r="L17" s="363">
        <f>SUM(L3:L16)</f>
        <v>69.349999999999994</v>
      </c>
      <c r="M17" s="363">
        <f>SUM(M3:M16)</f>
        <v>69.349999999999994</v>
      </c>
      <c r="N17" s="363">
        <f>SUM(N3:N16)</f>
        <v>69.349999999999994</v>
      </c>
    </row>
    <row r="18" spans="1:17">
      <c r="A18" t="s">
        <v>554</v>
      </c>
      <c r="B18" s="116" t="s">
        <v>443</v>
      </c>
      <c r="C18" s="180">
        <f>((C5/7)*4)/10000</f>
        <v>8.5714285714285701E-3</v>
      </c>
      <c r="D18" s="116" t="s">
        <v>442</v>
      </c>
      <c r="E18" s="195">
        <f>'Ceny składowe'!C63</f>
        <v>38.1</v>
      </c>
      <c r="F18" s="195">
        <f>C18*E18</f>
        <v>0.32657142857142851</v>
      </c>
      <c r="N18" s="54"/>
    </row>
    <row r="19" spans="1:17">
      <c r="G19" s="116"/>
      <c r="K19" t="s">
        <v>641</v>
      </c>
      <c r="L19" s="195">
        <f>L17</f>
        <v>69.349999999999994</v>
      </c>
      <c r="M19" s="195">
        <f>N17</f>
        <v>69.349999999999994</v>
      </c>
      <c r="N19" s="195">
        <f>AVERAGE(L17,M19)</f>
        <v>69.349999999999994</v>
      </c>
    </row>
    <row r="20" spans="1:17">
      <c r="E20" s="116" t="s">
        <v>95</v>
      </c>
      <c r="F20" s="198">
        <v>1.01</v>
      </c>
      <c r="K20" t="s">
        <v>642</v>
      </c>
      <c r="L20" s="195">
        <f>L17</f>
        <v>69.349999999999994</v>
      </c>
      <c r="M20" s="195">
        <f>IF(AND(C4&gt;=700,C5&lt;=200),M17*(1-13%),IF(AND(C4&lt;700,C5&lt;=200),M17*(1-5%),IF(AND(C4&gt;=700,C5&lt;=400),M17*(1-6%),IF(AND(C4&lt;700,C5&lt;=400),M17,IF(AND(C4&gt;=700,C5&lt;=600),M17*(1+0.4%),IF(AND(C4&lt;700,C5&lt;=600),M17*(1+0.8%),IF(AND(C4&gt;=700,C5&lt;=1200),M17*(1+3.1%),IF(AND(C4&lt;700,C5&lt;=1200),M17*(1+2%),IF(AND(C4&gt;=700,C5&lt;=1500),M17*(1-1%),IF(AND(C4&lt;700,C5&lt;=1500),M17*(1-0.8%),IF(AND(C4&gt;=700,C5&lt;=2000),M17*(1+0.6%),IF(AND(C4&lt;700,C5&lt;=2000),M17*(1-0.5%),IF(AND(C4&gt;=700,C5&lt;=2500),M17*(1-0.4%),IF(AND(C4&lt;700,C5&lt;=2500),M17*(1-1%)))))))))))))))</f>
        <v>65.882499999999993</v>
      </c>
      <c r="N20" s="195">
        <f>AVERAGE(L20,M20)</f>
        <v>67.616249999999994</v>
      </c>
    </row>
    <row r="21" spans="1:17">
      <c r="E21" s="116" t="s">
        <v>43</v>
      </c>
      <c r="F21" s="198">
        <f>SUM(F11:F18)*F20</f>
        <v>18.974548087358436</v>
      </c>
      <c r="O21" s="196"/>
      <c r="P21" s="73"/>
      <c r="Q21" s="295"/>
    </row>
    <row r="22" spans="1:17">
      <c r="B22" s="236" t="s">
        <v>411</v>
      </c>
      <c r="C22" s="237">
        <f>IF(AND(C5&lt;=400),30,IF(AND(C5&lt;=600,C5&gt;400),45,IF(AND(C5&lt;=900,C5&gt;600),60,IF(AND(C5&lt;=1200,C5&gt;900),80,IF(AND(C5&lt;=1400,C5&gt;1200),100,IF(AND(C5&lt;=1600,C5&gt;1400),120,IF(AND(C5&lt;=1800,C5&gt;1600),140,IF(AND(C5&lt;=2000,C5&gt;1800),160,IF(AND(C5&gt;2000),180)))))))))</f>
        <v>30</v>
      </c>
      <c r="D22" s="237" t="s">
        <v>412</v>
      </c>
      <c r="E22" s="239">
        <f>'Ceny składowe'!C94</f>
        <v>0.7</v>
      </c>
      <c r="F22" s="261">
        <f>C22*E22</f>
        <v>21</v>
      </c>
      <c r="L22" s="73" t="s">
        <v>518</v>
      </c>
      <c r="M22" s="196">
        <f>IF(L17=M19,N19,N20)</f>
        <v>69.349999999999994</v>
      </c>
      <c r="O22" s="295"/>
      <c r="P22" s="73"/>
      <c r="Q22" s="295"/>
    </row>
    <row r="23" spans="1:17">
      <c r="B23" s="159"/>
      <c r="C23" s="74"/>
      <c r="D23" s="74"/>
      <c r="E23" s="237" t="s">
        <v>413</v>
      </c>
      <c r="F23" s="261">
        <f>F21+F22</f>
        <v>39.974548087358436</v>
      </c>
      <c r="G23" s="237"/>
      <c r="H23" s="240"/>
      <c r="L23" s="73" t="s">
        <v>294</v>
      </c>
      <c r="M23" s="295">
        <f>(M22-F23)/F23</f>
        <v>0.73485388373736893</v>
      </c>
      <c r="P23" s="73"/>
      <c r="Q23" s="295"/>
    </row>
    <row r="24" spans="1:17" ht="15" thickBot="1"/>
    <row r="25" spans="1:17" ht="15.6">
      <c r="D25" s="610" t="s">
        <v>295</v>
      </c>
      <c r="E25" s="611"/>
      <c r="F25" s="611"/>
      <c r="G25" s="611"/>
      <c r="H25" s="611"/>
      <c r="I25" s="611"/>
      <c r="J25" s="611"/>
      <c r="K25" s="611"/>
      <c r="L25" s="611"/>
      <c r="M25" s="611"/>
      <c r="N25" s="611"/>
      <c r="O25" s="611"/>
      <c r="P25" s="612"/>
    </row>
    <row r="26" spans="1:17">
      <c r="D26" s="133"/>
      <c r="E26" s="99"/>
      <c r="F26" s="585" t="s">
        <v>96</v>
      </c>
      <c r="G26" s="585"/>
      <c r="H26" s="585"/>
      <c r="I26" s="585"/>
      <c r="J26" s="585"/>
      <c r="K26" s="585"/>
      <c r="L26" s="585"/>
      <c r="M26" s="585"/>
      <c r="N26" s="585"/>
      <c r="O26" s="585"/>
      <c r="P26" s="613"/>
    </row>
    <row r="27" spans="1:17">
      <c r="D27" s="133"/>
      <c r="E27" s="99"/>
      <c r="F27" s="99">
        <v>200</v>
      </c>
      <c r="G27" s="99">
        <v>300</v>
      </c>
      <c r="H27" s="99">
        <v>400</v>
      </c>
      <c r="I27" s="99">
        <v>500</v>
      </c>
      <c r="J27" s="99">
        <v>600</v>
      </c>
      <c r="K27" s="99">
        <v>700</v>
      </c>
      <c r="L27" s="99">
        <v>800</v>
      </c>
      <c r="M27" s="99">
        <v>900</v>
      </c>
      <c r="N27" s="99">
        <v>1000</v>
      </c>
      <c r="O27" s="99">
        <v>1200</v>
      </c>
      <c r="P27" s="132">
        <v>1500</v>
      </c>
    </row>
    <row r="28" spans="1:17">
      <c r="D28" s="614" t="s">
        <v>97</v>
      </c>
      <c r="E28" s="99">
        <v>200</v>
      </c>
      <c r="F28" s="134">
        <v>3.5</v>
      </c>
      <c r="G28" s="135">
        <v>3</v>
      </c>
      <c r="H28" s="136">
        <v>2.5</v>
      </c>
      <c r="I28" s="137">
        <v>2</v>
      </c>
      <c r="J28" s="137">
        <v>2</v>
      </c>
      <c r="K28" s="137">
        <v>2</v>
      </c>
      <c r="L28" s="137">
        <v>2</v>
      </c>
      <c r="M28" s="138">
        <v>1.5</v>
      </c>
      <c r="N28" s="138">
        <v>1.5</v>
      </c>
      <c r="O28" s="138">
        <v>1.5</v>
      </c>
      <c r="P28" s="139">
        <v>1.25</v>
      </c>
    </row>
    <row r="29" spans="1:17">
      <c r="D29" s="614"/>
      <c r="E29" s="99">
        <v>300</v>
      </c>
      <c r="F29" s="134">
        <v>3.5</v>
      </c>
      <c r="G29" s="135">
        <v>3</v>
      </c>
      <c r="H29" s="136">
        <v>2.5</v>
      </c>
      <c r="I29" s="137">
        <v>2</v>
      </c>
      <c r="J29" s="137">
        <v>2</v>
      </c>
      <c r="K29" s="137">
        <v>2</v>
      </c>
      <c r="L29" s="137">
        <v>2</v>
      </c>
      <c r="M29" s="138">
        <v>1.5</v>
      </c>
      <c r="N29" s="138">
        <v>1.5</v>
      </c>
      <c r="O29" s="138">
        <v>1.5</v>
      </c>
      <c r="P29" s="139">
        <v>1.25</v>
      </c>
    </row>
    <row r="30" spans="1:17">
      <c r="D30" s="614"/>
      <c r="E30" s="99">
        <v>400</v>
      </c>
      <c r="F30" s="134">
        <v>3.5</v>
      </c>
      <c r="G30" s="135">
        <v>3</v>
      </c>
      <c r="H30" s="136">
        <v>2.5</v>
      </c>
      <c r="I30" s="137">
        <v>2</v>
      </c>
      <c r="J30" s="137">
        <v>2</v>
      </c>
      <c r="K30" s="137">
        <v>2</v>
      </c>
      <c r="L30" s="137">
        <v>2</v>
      </c>
      <c r="M30" s="138">
        <v>1.5</v>
      </c>
      <c r="N30" s="138">
        <v>1.5</v>
      </c>
      <c r="O30" s="138">
        <v>1.5</v>
      </c>
      <c r="P30" s="139">
        <v>1.25</v>
      </c>
    </row>
    <row r="31" spans="1:17">
      <c r="D31" s="614"/>
      <c r="E31" s="99">
        <v>500</v>
      </c>
      <c r="F31" s="134">
        <v>3.5</v>
      </c>
      <c r="G31" s="135">
        <v>3</v>
      </c>
      <c r="H31" s="136">
        <v>2.5</v>
      </c>
      <c r="I31" s="137">
        <v>2</v>
      </c>
      <c r="J31" s="137">
        <v>2</v>
      </c>
      <c r="K31" s="137">
        <v>2</v>
      </c>
      <c r="L31" s="137">
        <v>2</v>
      </c>
      <c r="M31" s="138">
        <v>1.5</v>
      </c>
      <c r="N31" s="138">
        <v>1.5</v>
      </c>
      <c r="O31" s="138">
        <v>1.5</v>
      </c>
      <c r="P31" s="139">
        <v>1.25</v>
      </c>
    </row>
    <row r="32" spans="1:17">
      <c r="D32" s="614"/>
      <c r="E32" s="99">
        <v>600</v>
      </c>
      <c r="F32" s="134">
        <v>3.5</v>
      </c>
      <c r="G32" s="135">
        <v>3</v>
      </c>
      <c r="H32" s="136">
        <v>2.5</v>
      </c>
      <c r="I32" s="137">
        <v>2</v>
      </c>
      <c r="J32" s="137">
        <v>2</v>
      </c>
      <c r="K32" s="137">
        <v>2</v>
      </c>
      <c r="L32" s="137">
        <v>2</v>
      </c>
      <c r="M32" s="138">
        <v>1.5</v>
      </c>
      <c r="N32" s="138">
        <v>1.5</v>
      </c>
      <c r="O32" s="138">
        <v>1.5</v>
      </c>
      <c r="P32" s="139">
        <v>1.25</v>
      </c>
    </row>
    <row r="33" spans="4:18">
      <c r="D33" s="614"/>
      <c r="E33" s="99">
        <v>700</v>
      </c>
      <c r="F33" s="134">
        <v>3.5</v>
      </c>
      <c r="G33" s="135">
        <v>3</v>
      </c>
      <c r="H33" s="136">
        <v>2.5</v>
      </c>
      <c r="I33" s="137">
        <v>2</v>
      </c>
      <c r="J33" s="137">
        <v>2</v>
      </c>
      <c r="K33" s="137">
        <v>2</v>
      </c>
      <c r="L33" s="137">
        <v>2</v>
      </c>
      <c r="M33" s="138">
        <v>1.5</v>
      </c>
      <c r="N33" s="138">
        <v>1.5</v>
      </c>
      <c r="O33" s="138">
        <v>1.5</v>
      </c>
      <c r="P33" s="139">
        <v>1.25</v>
      </c>
    </row>
    <row r="34" spans="4:18">
      <c r="D34" s="614"/>
      <c r="E34" s="99">
        <v>800</v>
      </c>
      <c r="F34" s="134">
        <v>3.5</v>
      </c>
      <c r="G34" s="135">
        <v>3</v>
      </c>
      <c r="H34" s="136">
        <v>2.5</v>
      </c>
      <c r="I34" s="137">
        <v>2</v>
      </c>
      <c r="J34" s="137">
        <v>2</v>
      </c>
      <c r="K34" s="137">
        <v>2</v>
      </c>
      <c r="L34" s="137">
        <v>2</v>
      </c>
      <c r="M34" s="138">
        <v>1.5</v>
      </c>
      <c r="N34" s="138">
        <v>1.5</v>
      </c>
      <c r="O34" s="138">
        <v>1.5</v>
      </c>
      <c r="P34" s="139">
        <v>1.25</v>
      </c>
    </row>
    <row r="35" spans="4:18">
      <c r="D35" s="614"/>
      <c r="E35" s="99">
        <v>900</v>
      </c>
      <c r="F35" s="134">
        <v>3.5</v>
      </c>
      <c r="G35" s="135">
        <v>3</v>
      </c>
      <c r="H35" s="136">
        <v>2.5</v>
      </c>
      <c r="I35" s="137">
        <v>2</v>
      </c>
      <c r="J35" s="137">
        <v>2</v>
      </c>
      <c r="K35" s="137">
        <v>2</v>
      </c>
      <c r="L35" s="137">
        <v>2</v>
      </c>
      <c r="M35" s="138">
        <v>1.5</v>
      </c>
      <c r="N35" s="138">
        <v>1.5</v>
      </c>
      <c r="O35" s="138">
        <v>1.5</v>
      </c>
      <c r="P35" s="139">
        <v>1.25</v>
      </c>
    </row>
    <row r="36" spans="4:18">
      <c r="D36" s="614"/>
      <c r="E36" s="99">
        <v>1000</v>
      </c>
      <c r="F36" s="134">
        <v>3.5</v>
      </c>
      <c r="G36" s="135">
        <v>3</v>
      </c>
      <c r="H36" s="136">
        <v>2.5</v>
      </c>
      <c r="I36" s="137">
        <v>2</v>
      </c>
      <c r="J36" s="137">
        <v>2</v>
      </c>
      <c r="K36" s="137">
        <v>2</v>
      </c>
      <c r="L36" s="137">
        <v>2</v>
      </c>
      <c r="M36" s="138">
        <v>1.5</v>
      </c>
      <c r="N36" s="138">
        <v>1.5</v>
      </c>
      <c r="O36" s="138">
        <v>1.5</v>
      </c>
      <c r="P36" s="139">
        <v>1.25</v>
      </c>
    </row>
    <row r="37" spans="4:18">
      <c r="D37" s="614"/>
      <c r="E37" s="99">
        <v>1200</v>
      </c>
      <c r="F37" s="134">
        <v>3.5</v>
      </c>
      <c r="G37" s="135">
        <v>3</v>
      </c>
      <c r="H37" s="136">
        <v>2.5</v>
      </c>
      <c r="I37" s="137">
        <v>2</v>
      </c>
      <c r="J37" s="137">
        <v>2</v>
      </c>
      <c r="K37" s="137">
        <v>2</v>
      </c>
      <c r="L37" s="137">
        <v>2</v>
      </c>
      <c r="M37" s="138">
        <v>1.5</v>
      </c>
      <c r="N37" s="138">
        <v>1.5</v>
      </c>
      <c r="O37" s="138">
        <v>1.5</v>
      </c>
      <c r="P37" s="139">
        <v>1.25</v>
      </c>
    </row>
    <row r="41" spans="4:18" ht="15" thickBot="1">
      <c r="D41" s="523" t="s">
        <v>915</v>
      </c>
      <c r="E41" s="481"/>
      <c r="F41" s="481"/>
      <c r="G41" s="481"/>
      <c r="H41" s="481"/>
      <c r="I41" s="481"/>
      <c r="J41" s="481"/>
      <c r="K41" s="481"/>
      <c r="L41" s="484"/>
      <c r="M41" s="484"/>
      <c r="N41" s="481"/>
      <c r="O41" s="481"/>
      <c r="P41" s="481"/>
      <c r="Q41" s="481"/>
      <c r="R41" s="481"/>
    </row>
    <row r="42" spans="4:18" ht="15.6">
      <c r="D42" s="521" t="s">
        <v>916</v>
      </c>
      <c r="E42" s="522"/>
      <c r="F42" s="522"/>
      <c r="G42" s="522"/>
      <c r="H42" s="522"/>
      <c r="I42" s="522"/>
      <c r="J42" s="522"/>
      <c r="K42" s="522"/>
      <c r="L42" s="524"/>
      <c r="M42" s="524"/>
      <c r="N42" s="524"/>
      <c r="O42" s="524"/>
      <c r="P42" s="524"/>
      <c r="Q42" s="524"/>
      <c r="R42" s="525"/>
    </row>
    <row r="43" spans="4:18" ht="15" thickBot="1">
      <c r="D43" s="526"/>
      <c r="E43" s="140"/>
      <c r="F43" s="527" t="s">
        <v>97</v>
      </c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8"/>
    </row>
    <row r="44" spans="4:18">
      <c r="D44" s="615" t="s">
        <v>96</v>
      </c>
      <c r="E44" s="480"/>
      <c r="F44" s="483">
        <v>200</v>
      </c>
      <c r="G44" s="483">
        <v>400</v>
      </c>
      <c r="H44" s="483">
        <v>600</v>
      </c>
      <c r="I44" s="483">
        <v>800</v>
      </c>
      <c r="J44" s="483">
        <v>1000</v>
      </c>
      <c r="K44" s="483">
        <v>1200</v>
      </c>
      <c r="L44" s="483">
        <v>1400</v>
      </c>
      <c r="M44" s="483">
        <v>1600</v>
      </c>
      <c r="N44" s="483">
        <v>1800</v>
      </c>
      <c r="O44" s="483">
        <v>2000</v>
      </c>
      <c r="P44" s="483">
        <v>2200</v>
      </c>
      <c r="Q44" s="483">
        <v>2400</v>
      </c>
      <c r="R44" s="485">
        <v>2600</v>
      </c>
    </row>
    <row r="45" spans="4:18" ht="14.4" customHeight="1">
      <c r="D45" s="616"/>
      <c r="E45" s="482">
        <v>200</v>
      </c>
      <c r="F45" s="489">
        <v>70.081000000000003</v>
      </c>
      <c r="G45" s="491">
        <v>96.393000000000001</v>
      </c>
      <c r="H45" s="493">
        <v>122.68300000000001</v>
      </c>
      <c r="I45" s="495">
        <v>148.99499999999998</v>
      </c>
      <c r="J45" s="497">
        <v>175.95600000000002</v>
      </c>
      <c r="K45" s="499">
        <v>202.79600000000002</v>
      </c>
      <c r="L45" s="501">
        <v>229.79000000000002</v>
      </c>
      <c r="M45" s="503">
        <v>256.79499999999996</v>
      </c>
      <c r="N45" s="508">
        <v>283.8</v>
      </c>
      <c r="O45" s="509">
        <v>310.79400000000004</v>
      </c>
      <c r="P45" s="510">
        <v>337.79899999999998</v>
      </c>
      <c r="Q45" s="511">
        <v>364.80399999999997</v>
      </c>
      <c r="R45" s="486">
        <v>391.798</v>
      </c>
    </row>
    <row r="46" spans="4:18">
      <c r="D46" s="616"/>
      <c r="E46" s="482">
        <v>400</v>
      </c>
      <c r="F46" s="489">
        <v>90.266000000000005</v>
      </c>
      <c r="G46" s="491">
        <v>125.697</v>
      </c>
      <c r="H46" s="493">
        <v>161.447</v>
      </c>
      <c r="I46" s="495">
        <v>197.197</v>
      </c>
      <c r="J46" s="497">
        <v>234.23400000000001</v>
      </c>
      <c r="K46" s="499">
        <v>270.67700000000002</v>
      </c>
      <c r="L46" s="501">
        <v>307.13099999999997</v>
      </c>
      <c r="M46" s="512">
        <v>343.56299999999999</v>
      </c>
      <c r="N46" s="508">
        <v>380.00599999999997</v>
      </c>
      <c r="O46" s="509">
        <v>416.46000000000004</v>
      </c>
      <c r="P46" s="510">
        <v>452.89200000000005</v>
      </c>
      <c r="Q46" s="511">
        <v>489.33500000000004</v>
      </c>
      <c r="R46" s="486">
        <v>525.77800000000002</v>
      </c>
    </row>
    <row r="47" spans="4:18">
      <c r="D47" s="616"/>
      <c r="E47" s="482">
        <v>600</v>
      </c>
      <c r="F47" s="489">
        <v>110.81399999999999</v>
      </c>
      <c r="G47" s="491">
        <v>156.04600000000002</v>
      </c>
      <c r="H47" s="493">
        <v>201.267</v>
      </c>
      <c r="I47" s="495">
        <v>247.98400000000001</v>
      </c>
      <c r="J47" s="497">
        <v>294.327</v>
      </c>
      <c r="K47" s="499">
        <v>340.57100000000003</v>
      </c>
      <c r="L47" s="501">
        <v>386.80399999999997</v>
      </c>
      <c r="M47" s="512">
        <v>433.048</v>
      </c>
      <c r="N47" s="508">
        <v>479.28099999999995</v>
      </c>
      <c r="O47" s="509">
        <v>525.52499999999998</v>
      </c>
      <c r="P47" s="510">
        <v>571.76900000000001</v>
      </c>
      <c r="Q47" s="511">
        <v>618.01300000000003</v>
      </c>
      <c r="R47" s="486">
        <v>664.24599999999998</v>
      </c>
    </row>
    <row r="48" spans="4:18">
      <c r="D48" s="616"/>
      <c r="E48" s="482">
        <v>800</v>
      </c>
      <c r="F48" s="489">
        <v>131.01</v>
      </c>
      <c r="G48" s="491">
        <v>185.66899999999998</v>
      </c>
      <c r="H48" s="493">
        <v>241.51600000000002</v>
      </c>
      <c r="I48" s="495">
        <v>297.18700000000001</v>
      </c>
      <c r="J48" s="497">
        <v>352.77</v>
      </c>
      <c r="K48" s="499">
        <v>408.46299999999997</v>
      </c>
      <c r="L48" s="501">
        <v>464.13400000000001</v>
      </c>
      <c r="M48" s="512">
        <v>519.827</v>
      </c>
      <c r="N48" s="508">
        <v>575.50900000000001</v>
      </c>
      <c r="O48" s="509">
        <v>631.17999999999995</v>
      </c>
      <c r="P48" s="510">
        <v>686.87299999999993</v>
      </c>
      <c r="Q48" s="511">
        <v>742.54399999999998</v>
      </c>
      <c r="R48" s="486">
        <v>798.23699999999997</v>
      </c>
    </row>
    <row r="49" spans="1:18">
      <c r="D49" s="616"/>
      <c r="E49" s="482">
        <v>1000</v>
      </c>
      <c r="F49" s="489">
        <v>151.19499999999999</v>
      </c>
      <c r="G49" s="491">
        <v>216.161</v>
      </c>
      <c r="H49" s="493">
        <v>281.28100000000001</v>
      </c>
      <c r="I49" s="495">
        <v>346.40100000000001</v>
      </c>
      <c r="J49" s="497">
        <v>411.21299999999997</v>
      </c>
      <c r="K49" s="499">
        <v>476.34400000000005</v>
      </c>
      <c r="L49" s="501">
        <v>541.47500000000002</v>
      </c>
      <c r="M49" s="512">
        <v>606.59500000000003</v>
      </c>
      <c r="N49" s="508">
        <v>671.71499999999992</v>
      </c>
      <c r="O49" s="509">
        <v>736.846</v>
      </c>
      <c r="P49" s="510">
        <v>801.96599999999989</v>
      </c>
      <c r="Q49" s="511">
        <v>867.09699999999998</v>
      </c>
      <c r="R49" s="486">
        <v>932.2170000000001</v>
      </c>
    </row>
    <row r="50" spans="1:18">
      <c r="D50" s="616"/>
      <c r="E50" s="482">
        <v>1200</v>
      </c>
      <c r="F50" s="489">
        <v>171.93</v>
      </c>
      <c r="G50" s="491">
        <v>246.488</v>
      </c>
      <c r="H50" s="493">
        <v>321.05700000000002</v>
      </c>
      <c r="I50" s="495">
        <v>395.62600000000003</v>
      </c>
      <c r="J50" s="497">
        <v>469.65599999999995</v>
      </c>
      <c r="K50" s="499">
        <v>544.22500000000002</v>
      </c>
      <c r="L50" s="501">
        <v>618.80499999999995</v>
      </c>
      <c r="M50" s="512">
        <v>693.37400000000002</v>
      </c>
      <c r="N50" s="508">
        <v>767.93200000000002</v>
      </c>
      <c r="O50" s="509">
        <v>842.50099999999998</v>
      </c>
      <c r="P50" s="510">
        <v>917.07</v>
      </c>
      <c r="Q50" s="511">
        <v>991.62800000000004</v>
      </c>
      <c r="R50" s="486">
        <v>1066.2080000000001</v>
      </c>
    </row>
    <row r="51" spans="1:18">
      <c r="D51" s="616"/>
      <c r="E51" s="482">
        <v>1400</v>
      </c>
      <c r="F51" s="489">
        <v>192.81899999999999</v>
      </c>
      <c r="G51" s="491">
        <v>276.82600000000002</v>
      </c>
      <c r="H51" s="493">
        <v>360.83299999999997</v>
      </c>
      <c r="I51" s="495">
        <v>444.84</v>
      </c>
      <c r="J51" s="497">
        <v>528.09899999999993</v>
      </c>
      <c r="K51" s="499">
        <v>612.12800000000004</v>
      </c>
      <c r="L51" s="501">
        <v>696.12400000000002</v>
      </c>
      <c r="M51" s="512">
        <v>780.14200000000005</v>
      </c>
      <c r="N51" s="508">
        <v>864.149</v>
      </c>
      <c r="O51" s="509">
        <v>948.16700000000003</v>
      </c>
      <c r="P51" s="510">
        <v>1032.174</v>
      </c>
      <c r="Q51" s="511">
        <v>1116.181</v>
      </c>
      <c r="R51" s="486">
        <v>1200.1879999999999</v>
      </c>
    </row>
    <row r="52" spans="1:18">
      <c r="D52" s="616"/>
      <c r="E52" s="482">
        <v>1600</v>
      </c>
      <c r="F52" s="489">
        <v>235.697</v>
      </c>
      <c r="G52" s="491">
        <v>333.3</v>
      </c>
      <c r="H52" s="493">
        <v>430.90300000000002</v>
      </c>
      <c r="I52" s="495">
        <v>528.50599999999997</v>
      </c>
      <c r="J52" s="497">
        <v>624.34900000000005</v>
      </c>
      <c r="K52" s="499">
        <v>721.952</v>
      </c>
      <c r="L52" s="501">
        <v>819.55499999999995</v>
      </c>
      <c r="M52" s="512">
        <v>917.15800000000002</v>
      </c>
      <c r="N52" s="508">
        <v>1014.761</v>
      </c>
      <c r="O52" s="509">
        <v>1112.364</v>
      </c>
      <c r="P52" s="510">
        <v>1209.9670000000001</v>
      </c>
      <c r="Q52" s="511">
        <v>1307.5700000000002</v>
      </c>
      <c r="R52" s="486">
        <v>1405.162</v>
      </c>
    </row>
    <row r="53" spans="1:18">
      <c r="D53" s="616"/>
      <c r="E53" s="482">
        <v>1800</v>
      </c>
      <c r="F53" s="513">
        <v>256.685</v>
      </c>
      <c r="G53" s="514">
        <v>363.84699999999998</v>
      </c>
      <c r="H53" s="515">
        <v>470.99799999999999</v>
      </c>
      <c r="I53" s="516">
        <v>578.149</v>
      </c>
      <c r="J53" s="517">
        <v>683.33100000000002</v>
      </c>
      <c r="K53" s="518">
        <v>790.48199999999997</v>
      </c>
      <c r="L53" s="519">
        <v>897.63300000000004</v>
      </c>
      <c r="M53" s="512">
        <v>1004.7840000000001</v>
      </c>
      <c r="N53" s="508">
        <v>1111.9459999999999</v>
      </c>
      <c r="O53" s="509">
        <v>1219.097</v>
      </c>
      <c r="P53" s="510">
        <v>1326.248</v>
      </c>
      <c r="Q53" s="511">
        <v>1433.3989999999999</v>
      </c>
      <c r="R53" s="486">
        <v>1540.55</v>
      </c>
    </row>
    <row r="54" spans="1:18" ht="15" thickBot="1">
      <c r="D54" s="617"/>
      <c r="E54" s="487">
        <v>2000</v>
      </c>
      <c r="F54" s="490">
        <v>277.68399999999997</v>
      </c>
      <c r="G54" s="492">
        <v>394.39400000000001</v>
      </c>
      <c r="H54" s="494">
        <v>511.10399999999998</v>
      </c>
      <c r="I54" s="496">
        <v>627.79200000000003</v>
      </c>
      <c r="J54" s="498">
        <v>742.29099999999994</v>
      </c>
      <c r="K54" s="500">
        <v>859.00099999999998</v>
      </c>
      <c r="L54" s="502">
        <v>975.7</v>
      </c>
      <c r="M54" s="507">
        <v>1092.421</v>
      </c>
      <c r="N54" s="504">
        <v>1325.819</v>
      </c>
      <c r="O54" s="505">
        <v>1325.819</v>
      </c>
      <c r="P54" s="506">
        <v>1442.529</v>
      </c>
      <c r="Q54" s="520">
        <v>1559.239</v>
      </c>
      <c r="R54" s="488">
        <v>1675.9379999999999</v>
      </c>
    </row>
    <row r="57" spans="1:18">
      <c r="B57" s="54" t="s">
        <v>778</v>
      </c>
    </row>
    <row r="58" spans="1:18">
      <c r="B58" s="54"/>
    </row>
    <row r="59" spans="1:18" ht="16.8" customHeight="1">
      <c r="B59" s="606" t="s">
        <v>941</v>
      </c>
      <c r="C59" s="606"/>
      <c r="E59" s="606" t="s">
        <v>942</v>
      </c>
      <c r="F59" s="606"/>
      <c r="H59" s="606" t="s">
        <v>943</v>
      </c>
      <c r="I59" s="606"/>
      <c r="K59" s="606" t="s">
        <v>944</v>
      </c>
      <c r="L59" s="606"/>
    </row>
    <row r="60" spans="1:18" ht="15" customHeight="1">
      <c r="A60" s="99" t="s">
        <v>238</v>
      </c>
      <c r="B60" s="99" t="s">
        <v>959</v>
      </c>
      <c r="C60" t="s">
        <v>472</v>
      </c>
      <c r="E60" s="582" t="s">
        <v>471</v>
      </c>
      <c r="F60" s="582" t="s">
        <v>472</v>
      </c>
      <c r="H60" s="1" t="s">
        <v>471</v>
      </c>
      <c r="I60" s="582" t="s">
        <v>472</v>
      </c>
      <c r="K60" s="582" t="s">
        <v>960</v>
      </c>
      <c r="L60" s="582" t="s">
        <v>472</v>
      </c>
    </row>
    <row r="61" spans="1:18" ht="15" customHeight="1">
      <c r="A61">
        <v>100</v>
      </c>
      <c r="B61" s="74">
        <v>0.28000000000000003</v>
      </c>
      <c r="C61" s="582"/>
      <c r="D61" s="582"/>
      <c r="E61" s="7"/>
      <c r="G61" s="582"/>
      <c r="I61" s="582"/>
      <c r="J61" s="582"/>
    </row>
    <row r="62" spans="1:18" ht="15.6" customHeight="1">
      <c r="A62">
        <v>125</v>
      </c>
      <c r="B62" s="74">
        <v>0.39</v>
      </c>
      <c r="C62" s="582"/>
      <c r="D62" s="582"/>
      <c r="E62" s="7"/>
      <c r="G62" s="582"/>
      <c r="I62" s="582"/>
      <c r="J62" s="582"/>
    </row>
    <row r="63" spans="1:18">
      <c r="A63">
        <v>150</v>
      </c>
      <c r="B63" s="74">
        <v>0.54</v>
      </c>
      <c r="C63" s="582"/>
      <c r="D63" s="582"/>
      <c r="E63" s="7"/>
      <c r="G63" s="582"/>
      <c r="I63" s="582"/>
      <c r="J63" s="582"/>
    </row>
    <row r="64" spans="1:18">
      <c r="A64">
        <v>160</v>
      </c>
      <c r="B64" s="74">
        <v>0.59</v>
      </c>
      <c r="C64" s="582"/>
      <c r="D64" s="582"/>
      <c r="E64" s="7"/>
      <c r="G64" s="582"/>
      <c r="I64" s="582"/>
      <c r="J64" s="582"/>
    </row>
    <row r="65" spans="1:12">
      <c r="A65">
        <v>200</v>
      </c>
      <c r="B65" s="74">
        <v>0.94</v>
      </c>
      <c r="C65" s="582"/>
      <c r="D65" s="582"/>
      <c r="E65" s="7"/>
      <c r="G65" s="582"/>
      <c r="I65" s="582"/>
      <c r="J65" s="582"/>
    </row>
    <row r="66" spans="1:12">
      <c r="A66">
        <v>250</v>
      </c>
      <c r="B66" s="74">
        <v>1.39</v>
      </c>
      <c r="C66" s="582"/>
      <c r="D66" s="582"/>
      <c r="E66" s="7"/>
      <c r="G66" s="582"/>
      <c r="I66" s="582"/>
      <c r="J66" s="582"/>
    </row>
    <row r="67" spans="1:12">
      <c r="A67">
        <v>315</v>
      </c>
      <c r="B67" s="74">
        <v>1.91</v>
      </c>
      <c r="C67" s="582"/>
      <c r="D67" s="582"/>
      <c r="E67" s="7"/>
      <c r="G67" s="582"/>
      <c r="I67" s="582"/>
      <c r="J67" s="582"/>
    </row>
    <row r="68" spans="1:12">
      <c r="A68">
        <v>355</v>
      </c>
      <c r="B68" s="74">
        <v>0.3</v>
      </c>
      <c r="C68" s="582">
        <v>2.6</v>
      </c>
      <c r="D68" s="582"/>
      <c r="E68" s="7"/>
      <c r="G68" s="582"/>
      <c r="I68" s="582"/>
      <c r="J68" s="582"/>
    </row>
    <row r="69" spans="1:12">
      <c r="A69">
        <v>400</v>
      </c>
      <c r="B69" s="74">
        <v>0.36</v>
      </c>
      <c r="C69" s="582">
        <v>3.3</v>
      </c>
      <c r="D69" s="582"/>
      <c r="E69" s="7"/>
      <c r="G69" s="582"/>
      <c r="I69" s="582"/>
      <c r="J69" s="582"/>
    </row>
    <row r="71" spans="1:12">
      <c r="A71" s="309">
        <f>'Cennik Produkcja '!D431</f>
        <v>400</v>
      </c>
      <c r="C71" t="s">
        <v>236</v>
      </c>
    </row>
    <row r="75" spans="1:12" ht="15.6">
      <c r="A75" s="73" t="s">
        <v>100</v>
      </c>
      <c r="B75" s="10" t="s">
        <v>4</v>
      </c>
      <c r="C75" s="10" t="s">
        <v>5</v>
      </c>
      <c r="D75" s="11"/>
      <c r="E75" s="13" t="s">
        <v>6</v>
      </c>
      <c r="F75" s="13" t="s">
        <v>7</v>
      </c>
      <c r="H75" s="206"/>
      <c r="I75" s="607" t="s">
        <v>940</v>
      </c>
      <c r="J75" s="608"/>
      <c r="K75" s="608"/>
      <c r="L75" s="609"/>
    </row>
    <row r="76" spans="1:12" ht="27.6">
      <c r="A76" s="49" t="s">
        <v>176</v>
      </c>
      <c r="B76" t="s">
        <v>127</v>
      </c>
      <c r="C76" s="70">
        <f>D71</f>
        <v>0</v>
      </c>
      <c r="D76" t="s">
        <v>17</v>
      </c>
      <c r="E76" s="199">
        <f>'Ceny składowe'!C6</f>
        <v>4.3</v>
      </c>
      <c r="F76" s="199">
        <f>C76*E76</f>
        <v>0</v>
      </c>
      <c r="H76" s="555" t="s">
        <v>939</v>
      </c>
      <c r="I76" s="554" t="s">
        <v>941</v>
      </c>
      <c r="J76" s="554" t="s">
        <v>942</v>
      </c>
      <c r="K76" s="554" t="s">
        <v>943</v>
      </c>
      <c r="L76" s="554" t="s">
        <v>944</v>
      </c>
    </row>
    <row r="77" spans="1:12" ht="15.6">
      <c r="A77" s="100" t="s">
        <v>246</v>
      </c>
      <c r="B77" t="s">
        <v>257</v>
      </c>
      <c r="C77" s="86"/>
      <c r="D77" t="s">
        <v>17</v>
      </c>
      <c r="E77" s="199">
        <f>'Ceny składowe'!C7</f>
        <v>4.2</v>
      </c>
      <c r="F77" s="196">
        <f>C77*E77</f>
        <v>0</v>
      </c>
      <c r="H77" s="550">
        <v>100</v>
      </c>
      <c r="I77" s="552">
        <v>80.489999999999995</v>
      </c>
      <c r="J77" s="552">
        <v>85.49</v>
      </c>
      <c r="K77" s="552">
        <v>78.92</v>
      </c>
      <c r="L77" s="552">
        <v>83.92</v>
      </c>
    </row>
    <row r="78" spans="1:12" ht="15.6">
      <c r="A78" t="s">
        <v>780</v>
      </c>
      <c r="B78" t="s">
        <v>135</v>
      </c>
      <c r="C78" s="70">
        <f>(A71+15)*(A71+15)/1000000</f>
        <v>0.17222499999999999</v>
      </c>
      <c r="D78" t="s">
        <v>19</v>
      </c>
      <c r="E78" s="196">
        <v>23.98</v>
      </c>
      <c r="F78" s="196">
        <f>C78*E78</f>
        <v>4.1299554999999994</v>
      </c>
      <c r="H78" s="550">
        <v>125</v>
      </c>
      <c r="I78" s="553">
        <v>96.75</v>
      </c>
      <c r="J78" s="552">
        <v>101.75</v>
      </c>
      <c r="K78" s="552">
        <v>94.98</v>
      </c>
      <c r="L78" s="552">
        <v>99.98</v>
      </c>
    </row>
    <row r="79" spans="1:12" ht="15.6">
      <c r="A79" t="s">
        <v>966</v>
      </c>
      <c r="B79" t="s">
        <v>781</v>
      </c>
      <c r="C79" s="70">
        <f>IF(A71&lt;125,4,IF(A71&lt;315,6,IF(A71&gt;=315,8)))/1146</f>
        <v>6.9808027923211171E-3</v>
      </c>
      <c r="D79" t="s">
        <v>17</v>
      </c>
      <c r="E79" s="196">
        <f>'Ceny składowe'!C57</f>
        <v>15.91</v>
      </c>
      <c r="F79" s="196">
        <f>C79*E79</f>
        <v>0.11106457242582897</v>
      </c>
      <c r="H79" s="550">
        <v>150</v>
      </c>
      <c r="I79" s="553">
        <v>113.04</v>
      </c>
      <c r="J79" s="552">
        <v>118.04</v>
      </c>
      <c r="K79" s="552">
        <v>110.01</v>
      </c>
      <c r="L79" s="552">
        <v>115.01</v>
      </c>
    </row>
    <row r="80" spans="1:12" ht="15.6">
      <c r="H80" s="550">
        <v>160</v>
      </c>
      <c r="I80" s="553">
        <v>121.14</v>
      </c>
      <c r="J80" s="552">
        <v>126.14</v>
      </c>
      <c r="K80" s="552">
        <v>118.29</v>
      </c>
      <c r="L80" s="552">
        <v>123.29</v>
      </c>
    </row>
    <row r="81" spans="5:12" ht="15.6">
      <c r="H81" s="550">
        <v>200</v>
      </c>
      <c r="I81" s="553">
        <v>153.66</v>
      </c>
      <c r="J81" s="552">
        <v>158.66</v>
      </c>
      <c r="K81" s="552">
        <v>150.16</v>
      </c>
      <c r="L81" s="552">
        <v>155.16</v>
      </c>
    </row>
    <row r="82" spans="5:12" ht="15.6">
      <c r="E82" s="54" t="s">
        <v>296</v>
      </c>
      <c r="F82" s="196">
        <f>'Cennik Produkcja '!G431</f>
        <v>373.98</v>
      </c>
      <c r="H82" s="550">
        <v>250</v>
      </c>
      <c r="I82" s="553">
        <v>186.18</v>
      </c>
      <c r="J82" s="552">
        <v>191.18</v>
      </c>
      <c r="K82" s="552">
        <v>182.68</v>
      </c>
      <c r="L82" s="552">
        <v>187.68</v>
      </c>
    </row>
    <row r="83" spans="5:12" ht="15.6">
      <c r="H83" s="550">
        <v>315</v>
      </c>
      <c r="I83" s="553">
        <v>259.35000000000002</v>
      </c>
      <c r="J83" s="552">
        <v>264.35000000000002</v>
      </c>
      <c r="K83" s="552">
        <v>254.77</v>
      </c>
      <c r="L83" s="552">
        <v>259.77</v>
      </c>
    </row>
    <row r="84" spans="5:12" ht="15.6">
      <c r="H84" s="550">
        <v>355</v>
      </c>
      <c r="I84" s="553">
        <v>303.12</v>
      </c>
      <c r="J84" s="552">
        <v>308.12</v>
      </c>
      <c r="K84" s="552">
        <v>298.02</v>
      </c>
      <c r="L84" s="552">
        <v>303.02</v>
      </c>
    </row>
    <row r="85" spans="5:12" ht="15.6">
      <c r="H85" s="550">
        <v>400</v>
      </c>
      <c r="I85" s="553">
        <v>373.98</v>
      </c>
      <c r="J85" s="552">
        <v>378.98</v>
      </c>
      <c r="K85" s="552">
        <v>368.11</v>
      </c>
      <c r="L85" s="552">
        <v>373.11</v>
      </c>
    </row>
  </sheetData>
  <mergeCells count="9">
    <mergeCell ref="B59:C59"/>
    <mergeCell ref="I75:L75"/>
    <mergeCell ref="D25:P25"/>
    <mergeCell ref="F26:P26"/>
    <mergeCell ref="D28:D37"/>
    <mergeCell ref="D44:D54"/>
    <mergeCell ref="K59:L59"/>
    <mergeCell ref="H59:I59"/>
    <mergeCell ref="E59:F59"/>
  </mergeCells>
  <conditionalFormatting sqref="J3:J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AA97"/>
  <sheetViews>
    <sheetView workbookViewId="0">
      <selection activeCell="A48" sqref="A48"/>
    </sheetView>
  </sheetViews>
  <sheetFormatPr defaultColWidth="9.109375" defaultRowHeight="14.4"/>
  <cols>
    <col min="1" max="1" width="37.88671875" style="1" customWidth="1"/>
    <col min="2" max="2" width="37.33203125" style="49" customWidth="1"/>
    <col min="3" max="3" width="12.6640625" style="1" customWidth="1"/>
    <col min="4" max="4" width="9.109375" style="1"/>
    <col min="5" max="5" width="14.6640625" style="1" customWidth="1"/>
    <col min="6" max="6" width="31.33203125" style="49" customWidth="1"/>
    <col min="7" max="7" width="9.109375" style="1"/>
    <col min="8" max="8" width="20" style="49" customWidth="1"/>
    <col min="9" max="9" width="24.5546875" style="1" customWidth="1"/>
    <col min="10" max="10" width="17.109375" style="1" customWidth="1"/>
    <col min="11" max="11" width="12" style="1" customWidth="1"/>
    <col min="12" max="12" width="15.109375" style="1" customWidth="1"/>
    <col min="13" max="13" width="14.6640625" style="1" customWidth="1"/>
    <col min="14" max="16384" width="9.109375" style="1"/>
  </cols>
  <sheetData>
    <row r="4" spans="2:16">
      <c r="B4" s="48" t="s">
        <v>463</v>
      </c>
      <c r="F4" s="50"/>
    </row>
    <row r="5" spans="2:16">
      <c r="M5" s="75" t="s">
        <v>77</v>
      </c>
      <c r="N5" s="76"/>
      <c r="O5" s="76"/>
      <c r="P5" s="76"/>
    </row>
    <row r="6" spans="2:16">
      <c r="B6" s="49" t="s">
        <v>3</v>
      </c>
      <c r="C6" s="47">
        <f>'Cennik Produkcja '!E50</f>
        <v>300</v>
      </c>
      <c r="D6" s="1" t="s">
        <v>27</v>
      </c>
      <c r="M6" s="75" t="s">
        <v>72</v>
      </c>
      <c r="N6" s="76"/>
      <c r="O6" s="76"/>
      <c r="P6" s="75" t="s">
        <v>75</v>
      </c>
    </row>
    <row r="7" spans="2:16">
      <c r="B7" s="49" t="s">
        <v>1</v>
      </c>
      <c r="C7" s="47">
        <f>'Cennik Produkcja '!D50</f>
        <v>1400</v>
      </c>
      <c r="D7" s="1" t="s">
        <v>27</v>
      </c>
      <c r="M7" s="75" t="s">
        <v>73</v>
      </c>
      <c r="N7" s="75" t="s">
        <v>74</v>
      </c>
      <c r="O7" s="75"/>
      <c r="P7" s="75">
        <v>100</v>
      </c>
    </row>
    <row r="8" spans="2:16">
      <c r="B8" s="49" t="s">
        <v>56</v>
      </c>
      <c r="C8" s="1">
        <f>'Cennik Produkcja '!D52</f>
        <v>1000</v>
      </c>
      <c r="D8" s="1" t="s">
        <v>27</v>
      </c>
      <c r="M8" s="76">
        <v>200</v>
      </c>
      <c r="N8" s="76">
        <v>300</v>
      </c>
      <c r="O8" s="76"/>
      <c r="P8" s="76">
        <v>1</v>
      </c>
    </row>
    <row r="9" spans="2:16">
      <c r="E9" s="5" t="s">
        <v>343</v>
      </c>
      <c r="M9" s="76">
        <v>301</v>
      </c>
      <c r="N9" s="76">
        <v>500</v>
      </c>
      <c r="O9" s="76"/>
      <c r="P9" s="76">
        <v>2</v>
      </c>
    </row>
    <row r="10" spans="2:16">
      <c r="B10" s="49" t="s">
        <v>57</v>
      </c>
      <c r="C10" s="1">
        <v>4</v>
      </c>
      <c r="D10" s="1" t="s">
        <v>10</v>
      </c>
      <c r="E10" s="74">
        <f>((((((C6*2)+(C8*2))*150)/1000000)*C10))*C25*C27</f>
        <v>9.9840000000000018</v>
      </c>
      <c r="M10" s="76">
        <v>501</v>
      </c>
      <c r="N10" s="76">
        <v>700</v>
      </c>
      <c r="O10" s="76"/>
      <c r="P10" s="76">
        <v>3</v>
      </c>
    </row>
    <row r="11" spans="2:16">
      <c r="B11" s="49" t="s">
        <v>58</v>
      </c>
      <c r="C11" s="1">
        <v>0</v>
      </c>
      <c r="D11" s="1" t="s">
        <v>10</v>
      </c>
      <c r="E11" s="74">
        <f>(((((C6*2)+(C8*2))*200)/1000000)*C25)*C11</f>
        <v>0</v>
      </c>
      <c r="I11" s="1" t="s">
        <v>22</v>
      </c>
      <c r="J11" s="195">
        <f>F43</f>
        <v>394.40444599999989</v>
      </c>
      <c r="M11" s="76">
        <v>701</v>
      </c>
      <c r="N11" s="76">
        <v>900</v>
      </c>
      <c r="O11" s="76"/>
      <c r="P11" s="76">
        <v>4</v>
      </c>
    </row>
    <row r="12" spans="2:16">
      <c r="B12" s="49" t="s">
        <v>59</v>
      </c>
      <c r="C12" s="1">
        <f>IF(C7&lt;1001,0,IF(C7&gt;2500,7,IF(C7&gt;2000,6,IF(C7&gt;1700,5,IF(C7&gt;1300,4,IF(C7&gt;1000,3))))))</f>
        <v>4</v>
      </c>
      <c r="D12" s="1" t="s">
        <v>10</v>
      </c>
      <c r="E12" s="74">
        <f>(((((C6*2)+(C8*2))*250)/1000000)*C25*8)*C12</f>
        <v>16.64</v>
      </c>
      <c r="F12" s="50"/>
      <c r="M12" s="76">
        <v>901</v>
      </c>
      <c r="N12" s="76">
        <v>1000</v>
      </c>
      <c r="O12" s="76"/>
      <c r="P12" s="76">
        <v>5</v>
      </c>
    </row>
    <row r="13" spans="2:16">
      <c r="B13" s="49" t="s">
        <v>400</v>
      </c>
      <c r="C13" s="1">
        <f>((C6*C8)*1)*C10/1000000</f>
        <v>1.2</v>
      </c>
      <c r="D13" s="1" t="s">
        <v>19</v>
      </c>
      <c r="E13" s="7"/>
      <c r="F13"/>
      <c r="G13"/>
      <c r="H13" t="s">
        <v>39</v>
      </c>
      <c r="I13" t="s">
        <v>40</v>
      </c>
      <c r="J13" t="s">
        <v>44</v>
      </c>
      <c r="M13" s="75" t="s">
        <v>72</v>
      </c>
      <c r="N13" s="76"/>
      <c r="O13" s="76"/>
      <c r="P13" s="75" t="s">
        <v>75</v>
      </c>
    </row>
    <row r="14" spans="2:16">
      <c r="B14" s="49" t="s">
        <v>401</v>
      </c>
      <c r="C14" s="1">
        <f>((C7*C8)*3)*C11/10000000</f>
        <v>0</v>
      </c>
      <c r="D14" s="1" t="s">
        <v>19</v>
      </c>
      <c r="E14" s="7"/>
      <c r="F14" s="12" t="s">
        <v>45</v>
      </c>
      <c r="G14" s="77">
        <v>2.4</v>
      </c>
      <c r="H14" s="196">
        <f>ROUND(J11*(1+G14),2)</f>
        <v>1340.98</v>
      </c>
      <c r="I14" s="196">
        <f>ROUND(H14*0.8,2)</f>
        <v>1072.78</v>
      </c>
      <c r="J14" s="196">
        <f>H14/0.6</f>
        <v>2234.9666666666667</v>
      </c>
      <c r="M14" s="75" t="s">
        <v>73</v>
      </c>
      <c r="N14" s="75" t="s">
        <v>74</v>
      </c>
      <c r="O14" s="76"/>
      <c r="P14" s="75">
        <v>200</v>
      </c>
    </row>
    <row r="15" spans="2:16">
      <c r="B15" s="49" t="s">
        <v>402</v>
      </c>
      <c r="C15" s="1">
        <f>((C6*C8)*2)*C12/1000000</f>
        <v>2.4</v>
      </c>
      <c r="D15" s="1" t="s">
        <v>19</v>
      </c>
      <c r="E15" s="7"/>
      <c r="F15" s="12" t="s">
        <v>38</v>
      </c>
      <c r="G15" s="77">
        <v>4.1399999999999997</v>
      </c>
      <c r="H15" s="196">
        <f>ROUND(J11*(1+G15),2)</f>
        <v>2027.24</v>
      </c>
      <c r="I15" s="196">
        <f t="shared" ref="I15" si="0">ROUND(H15*0.86,2)</f>
        <v>1743.43</v>
      </c>
      <c r="J15" s="196">
        <f>H15/0.6</f>
        <v>3378.7333333333336</v>
      </c>
      <c r="M15" s="76">
        <v>1000</v>
      </c>
      <c r="N15" s="76">
        <v>1300</v>
      </c>
      <c r="O15" s="76"/>
      <c r="P15" s="76">
        <v>3</v>
      </c>
    </row>
    <row r="16" spans="2:16">
      <c r="B16" s="49" t="s">
        <v>46</v>
      </c>
      <c r="C16" s="1">
        <f>(C6+C6+C7+C7)*2/1000</f>
        <v>6.8</v>
      </c>
      <c r="D16" s="1" t="s">
        <v>2</v>
      </c>
      <c r="E16" s="7"/>
      <c r="F16" s="12"/>
      <c r="H16" s="4"/>
      <c r="I16" s="4"/>
      <c r="J16"/>
      <c r="M16" s="76">
        <v>1301</v>
      </c>
      <c r="N16" s="76">
        <v>1700</v>
      </c>
      <c r="O16" s="76"/>
      <c r="P16" s="76">
        <v>4</v>
      </c>
    </row>
    <row r="17" spans="2:27">
      <c r="E17" s="7"/>
      <c r="F17" s="50"/>
      <c r="M17" s="76">
        <v>1701</v>
      </c>
      <c r="N17" s="76">
        <v>2000</v>
      </c>
      <c r="O17" s="76"/>
      <c r="P17" s="76">
        <v>5</v>
      </c>
    </row>
    <row r="18" spans="2:27">
      <c r="B18" s="49" t="s">
        <v>47</v>
      </c>
      <c r="C18" s="1">
        <f>((C6+C6+C8+C8)*0.15)*C10/1000</f>
        <v>1.56</v>
      </c>
      <c r="D18" s="1" t="s">
        <v>19</v>
      </c>
      <c r="E18" s="7">
        <f>C18*C25*C27</f>
        <v>9.9840000000000018</v>
      </c>
      <c r="F18" s="50" t="s">
        <v>17</v>
      </c>
      <c r="M18" s="76">
        <v>2001</v>
      </c>
      <c r="N18" s="76">
        <v>2500</v>
      </c>
      <c r="O18" s="76"/>
      <c r="P18" s="76">
        <v>6</v>
      </c>
    </row>
    <row r="19" spans="2:27">
      <c r="B19" s="49" t="s">
        <v>48</v>
      </c>
      <c r="C19" s="1">
        <f>((C6+C6+C8+C8)*0.2)*C11/1000</f>
        <v>0</v>
      </c>
      <c r="D19" s="1" t="s">
        <v>19</v>
      </c>
      <c r="E19" s="7">
        <f>C19*C25*C27</f>
        <v>0</v>
      </c>
      <c r="F19" s="50" t="s">
        <v>17</v>
      </c>
      <c r="M19" s="76">
        <v>2501</v>
      </c>
      <c r="N19" s="76"/>
      <c r="O19" s="76"/>
      <c r="P19" s="76">
        <v>7</v>
      </c>
    </row>
    <row r="20" spans="2:27">
      <c r="B20" s="49" t="s">
        <v>49</v>
      </c>
      <c r="C20" s="1">
        <f>((C6+C6+C8+C8)*0.25)*C12/1000</f>
        <v>2.6</v>
      </c>
      <c r="D20" s="1" t="s">
        <v>19</v>
      </c>
      <c r="E20" s="7">
        <f>C20*C25*C27</f>
        <v>16.64</v>
      </c>
      <c r="F20" s="50" t="s">
        <v>17</v>
      </c>
    </row>
    <row r="21" spans="2:27">
      <c r="B21" s="49" t="s">
        <v>50</v>
      </c>
      <c r="C21" s="1">
        <f>(C6+C6+C7+C7)*C8/1000000</f>
        <v>3.4</v>
      </c>
      <c r="D21" s="1" t="s">
        <v>19</v>
      </c>
      <c r="E21" s="7">
        <f>C21*C26*C27</f>
        <v>21.76</v>
      </c>
      <c r="F21" s="50" t="s">
        <v>17</v>
      </c>
    </row>
    <row r="22" spans="2:27">
      <c r="F22" s="1"/>
      <c r="G22" s="10"/>
      <c r="H22" s="54"/>
      <c r="I22" s="5"/>
      <c r="M22" s="86"/>
      <c r="N22" s="90">
        <v>200</v>
      </c>
      <c r="O22" s="90">
        <v>300</v>
      </c>
      <c r="P22" s="90">
        <v>400</v>
      </c>
      <c r="Q22" s="90">
        <v>500</v>
      </c>
      <c r="R22" s="90">
        <v>600</v>
      </c>
      <c r="S22" s="90">
        <v>700</v>
      </c>
      <c r="T22" s="90">
        <v>800</v>
      </c>
      <c r="U22" s="90">
        <v>900</v>
      </c>
      <c r="V22" s="90">
        <v>1000</v>
      </c>
      <c r="W22" s="90">
        <v>1200</v>
      </c>
      <c r="X22" s="90">
        <v>1400</v>
      </c>
      <c r="Y22" s="47">
        <v>1600</v>
      </c>
      <c r="Z22" s="1">
        <v>1800</v>
      </c>
      <c r="AA22" s="1">
        <v>2000</v>
      </c>
    </row>
    <row r="23" spans="2:27">
      <c r="B23" s="49" t="s">
        <v>51</v>
      </c>
      <c r="C23" s="1">
        <f>SUM(C18:C21)</f>
        <v>7.5600000000000005</v>
      </c>
      <c r="D23" s="1" t="s">
        <v>19</v>
      </c>
      <c r="F23" s="1"/>
      <c r="G23" s="195"/>
      <c r="M23" s="90">
        <v>200</v>
      </c>
      <c r="N23" s="166">
        <v>1.6</v>
      </c>
      <c r="O23" s="166">
        <v>1.6</v>
      </c>
      <c r="P23" s="167">
        <v>1.4</v>
      </c>
      <c r="Q23" s="167">
        <v>1.4</v>
      </c>
      <c r="R23" s="167">
        <v>1.4</v>
      </c>
      <c r="S23" s="167">
        <v>1.4</v>
      </c>
      <c r="T23" s="167">
        <v>1.4</v>
      </c>
      <c r="U23" s="168">
        <v>1.05</v>
      </c>
      <c r="V23" s="168">
        <v>1.05</v>
      </c>
      <c r="W23" s="168">
        <v>1.05</v>
      </c>
      <c r="X23" s="168">
        <v>1.05</v>
      </c>
      <c r="Y23" s="168">
        <v>1.05</v>
      </c>
      <c r="Z23" s="168">
        <v>1.05</v>
      </c>
      <c r="AA23" s="168">
        <v>1.05</v>
      </c>
    </row>
    <row r="24" spans="2:27">
      <c r="F24" s="1"/>
      <c r="G24" s="195"/>
      <c r="H24" s="1"/>
      <c r="M24" s="90">
        <v>300</v>
      </c>
      <c r="N24" s="166">
        <v>1.6</v>
      </c>
      <c r="O24" s="166">
        <v>1.6</v>
      </c>
      <c r="P24" s="167">
        <v>1.4</v>
      </c>
      <c r="Q24" s="167">
        <v>1.4</v>
      </c>
      <c r="R24" s="167">
        <v>1.4</v>
      </c>
      <c r="S24" s="167">
        <v>1.4</v>
      </c>
      <c r="T24" s="167">
        <v>1.4</v>
      </c>
      <c r="U24" s="168">
        <v>1.05</v>
      </c>
      <c r="V24" s="168">
        <v>1.05</v>
      </c>
      <c r="W24" s="168">
        <v>1.05</v>
      </c>
      <c r="X24" s="168">
        <v>1.05</v>
      </c>
      <c r="Y24" s="168">
        <v>1.05</v>
      </c>
      <c r="Z24" s="168">
        <v>1.05</v>
      </c>
      <c r="AA24" s="168">
        <v>1.05</v>
      </c>
    </row>
    <row r="25" spans="2:27">
      <c r="B25" s="49" t="s">
        <v>480</v>
      </c>
      <c r="C25" s="1">
        <f>IF(AND(C6&lt;=800,C8&lt;1000),0.6,IF(AND(C6&lt;=800,C8&gt;=1000),0.8,IF(AND(C6&gt;800,C8&lt;=1000),0.8,IF(AND(C6&gt;800,C8&gt;1000),0.8))))</f>
        <v>0.8</v>
      </c>
      <c r="D25" s="1" t="s">
        <v>27</v>
      </c>
      <c r="F25" s="1"/>
      <c r="G25" s="195"/>
      <c r="M25" s="90">
        <v>400</v>
      </c>
      <c r="N25" s="168">
        <v>1.05</v>
      </c>
      <c r="O25" s="168">
        <v>1.05</v>
      </c>
      <c r="P25" s="171">
        <v>0.8</v>
      </c>
      <c r="Q25" s="171">
        <v>0.8</v>
      </c>
      <c r="R25" s="171">
        <v>0.8</v>
      </c>
      <c r="S25" s="171">
        <v>0.8</v>
      </c>
      <c r="T25" s="171">
        <v>0.8</v>
      </c>
      <c r="U25" s="172">
        <v>0.65</v>
      </c>
      <c r="V25" s="172">
        <v>0.65</v>
      </c>
      <c r="W25" s="172">
        <v>0.65</v>
      </c>
      <c r="X25" s="172">
        <v>0.65</v>
      </c>
      <c r="Y25" s="172">
        <v>0.65</v>
      </c>
      <c r="Z25" s="172">
        <v>0.65</v>
      </c>
      <c r="AA25" s="172">
        <v>0.65</v>
      </c>
    </row>
    <row r="26" spans="2:27">
      <c r="B26" s="49" t="s">
        <v>479</v>
      </c>
      <c r="C26" s="1">
        <f>IF(AND(C6&lt;=800,C7&lt;=800),0.6,IF(AND(C6&lt;=800,C7&gt;800),0.8,IF(AND(C6&gt;800,C7&lt;=800),0.8,IF(AND(C6&gt;800,C7&gt;800),0.8))))</f>
        <v>0.8</v>
      </c>
      <c r="D26" s="1" t="s">
        <v>27</v>
      </c>
      <c r="F26" s="1"/>
      <c r="G26" s="195"/>
      <c r="M26" s="90">
        <v>500</v>
      </c>
      <c r="N26" s="168">
        <v>1.05</v>
      </c>
      <c r="O26" s="168">
        <v>1.05</v>
      </c>
      <c r="P26" s="171">
        <v>0.8</v>
      </c>
      <c r="Q26" s="171">
        <v>0.8</v>
      </c>
      <c r="R26" s="171">
        <v>0.8</v>
      </c>
      <c r="S26" s="171">
        <v>0.8</v>
      </c>
      <c r="T26" s="171">
        <v>0.8</v>
      </c>
      <c r="U26" s="172">
        <v>0.65</v>
      </c>
      <c r="V26" s="172">
        <v>0.65</v>
      </c>
      <c r="W26" s="172">
        <v>0.65</v>
      </c>
      <c r="X26" s="172">
        <v>0.65</v>
      </c>
      <c r="Y26" s="172">
        <v>0.65</v>
      </c>
      <c r="Z26" s="172">
        <v>0.65</v>
      </c>
      <c r="AA26" s="172">
        <v>0.65</v>
      </c>
    </row>
    <row r="27" spans="2:27">
      <c r="B27" s="49" t="s">
        <v>53</v>
      </c>
      <c r="C27" s="1">
        <v>8</v>
      </c>
      <c r="F27" s="1"/>
      <c r="G27" s="195"/>
      <c r="M27" s="90">
        <v>600</v>
      </c>
      <c r="N27" s="168">
        <v>1.05</v>
      </c>
      <c r="O27" s="168">
        <v>1.05</v>
      </c>
      <c r="P27" s="171">
        <v>0.8</v>
      </c>
      <c r="Q27" s="171">
        <v>0.8</v>
      </c>
      <c r="R27" s="171">
        <v>0.8</v>
      </c>
      <c r="S27" s="171">
        <v>0.8</v>
      </c>
      <c r="T27" s="171">
        <v>0.8</v>
      </c>
      <c r="U27" s="172">
        <v>0.65</v>
      </c>
      <c r="V27" s="172">
        <v>0.65</v>
      </c>
      <c r="W27" s="172">
        <v>0.65</v>
      </c>
      <c r="X27" s="172">
        <v>0.65</v>
      </c>
      <c r="Y27" s="172">
        <v>0.65</v>
      </c>
      <c r="Z27" s="172">
        <v>0.65</v>
      </c>
      <c r="AA27" s="172">
        <v>0.65</v>
      </c>
    </row>
    <row r="28" spans="2:27">
      <c r="F28" s="50"/>
      <c r="M28" s="90">
        <v>700</v>
      </c>
      <c r="N28" s="168">
        <v>1.05</v>
      </c>
      <c r="O28" s="168">
        <v>1.05</v>
      </c>
      <c r="P28" s="171">
        <v>0.8</v>
      </c>
      <c r="Q28" s="171">
        <v>0.8</v>
      </c>
      <c r="R28" s="171">
        <v>0.8</v>
      </c>
      <c r="S28" s="171">
        <v>0.8</v>
      </c>
      <c r="T28" s="171">
        <v>0.8</v>
      </c>
      <c r="U28" s="172">
        <v>0.65</v>
      </c>
      <c r="V28" s="172">
        <v>0.65</v>
      </c>
      <c r="W28" s="172">
        <v>0.65</v>
      </c>
      <c r="X28" s="172">
        <v>0.65</v>
      </c>
      <c r="Y28" s="172">
        <v>0.65</v>
      </c>
      <c r="Z28" s="172">
        <v>0.65</v>
      </c>
      <c r="AA28" s="172">
        <v>0.65</v>
      </c>
    </row>
    <row r="29" spans="2:27">
      <c r="B29" s="49" t="s">
        <v>54</v>
      </c>
      <c r="C29" s="74">
        <f>(8*C26*((C8/1000*2*(C6/1000+C7/1000))))+SUM(E10,E11,E12)</f>
        <v>48.384</v>
      </c>
      <c r="D29" s="1" t="s">
        <v>17</v>
      </c>
      <c r="E29" s="52"/>
      <c r="F29" s="50"/>
      <c r="M29" s="90">
        <v>800</v>
      </c>
      <c r="N29" s="168">
        <v>1.05</v>
      </c>
      <c r="O29" s="168">
        <v>1.05</v>
      </c>
      <c r="P29" s="171">
        <v>0.8</v>
      </c>
      <c r="Q29" s="171">
        <v>0.8</v>
      </c>
      <c r="R29" s="171">
        <v>0.8</v>
      </c>
      <c r="S29" s="171">
        <v>0.8</v>
      </c>
      <c r="T29" s="171">
        <v>0.8</v>
      </c>
      <c r="U29" s="172">
        <v>0.65</v>
      </c>
      <c r="V29" s="172">
        <v>0.65</v>
      </c>
      <c r="W29" s="172">
        <v>0.65</v>
      </c>
      <c r="X29" s="172">
        <v>0.65</v>
      </c>
      <c r="Y29" s="172">
        <v>0.65</v>
      </c>
      <c r="Z29" s="172">
        <v>0.65</v>
      </c>
      <c r="AA29" s="172">
        <v>0.65</v>
      </c>
    </row>
    <row r="30" spans="2:27">
      <c r="B30" s="49" t="s">
        <v>55</v>
      </c>
      <c r="C30" s="40">
        <f>C29/1000</f>
        <v>4.8384000000000003E-2</v>
      </c>
      <c r="D30" s="1" t="s">
        <v>23</v>
      </c>
      <c r="F30" s="50"/>
      <c r="M30" s="90">
        <v>900</v>
      </c>
      <c r="N30" s="168">
        <v>1.05</v>
      </c>
      <c r="O30" s="168">
        <v>1.05</v>
      </c>
      <c r="P30" s="172">
        <v>0.65</v>
      </c>
      <c r="Q30" s="172">
        <v>0.65</v>
      </c>
      <c r="R30" s="172">
        <v>0.65</v>
      </c>
      <c r="S30" s="172">
        <v>0.65</v>
      </c>
      <c r="T30" s="172">
        <v>0.65</v>
      </c>
      <c r="U30" s="172">
        <v>0.65</v>
      </c>
      <c r="V30" s="172">
        <v>0.65</v>
      </c>
      <c r="W30" s="172">
        <v>0.65</v>
      </c>
      <c r="X30" s="172">
        <v>0.65</v>
      </c>
      <c r="Y30" s="172">
        <v>0.65</v>
      </c>
      <c r="Z30" s="172">
        <v>0.65</v>
      </c>
      <c r="AA30" s="172">
        <v>0.65</v>
      </c>
    </row>
    <row r="31" spans="2:27">
      <c r="F31" s="50"/>
      <c r="M31" s="90">
        <v>1000</v>
      </c>
      <c r="N31" s="168">
        <v>1.05</v>
      </c>
      <c r="O31" s="168">
        <v>1.05</v>
      </c>
      <c r="P31" s="172">
        <v>0.65</v>
      </c>
      <c r="Q31" s="172">
        <v>0.65</v>
      </c>
      <c r="R31" s="172">
        <v>0.65</v>
      </c>
      <c r="S31" s="172">
        <v>0.65</v>
      </c>
      <c r="T31" s="172">
        <v>0.65</v>
      </c>
      <c r="U31" s="172">
        <v>0.65</v>
      </c>
      <c r="V31" s="172">
        <v>0.65</v>
      </c>
      <c r="W31" s="172">
        <v>0.65</v>
      </c>
      <c r="X31" s="172">
        <v>0.65</v>
      </c>
      <c r="Y31" s="172">
        <v>0.65</v>
      </c>
      <c r="Z31" s="172">
        <v>0.65</v>
      </c>
      <c r="AA31" s="172">
        <v>0.65</v>
      </c>
    </row>
    <row r="32" spans="2:27">
      <c r="M32" s="90">
        <v>1200</v>
      </c>
      <c r="N32" s="168">
        <v>1.05</v>
      </c>
      <c r="O32" s="168">
        <v>1.05</v>
      </c>
      <c r="P32" s="172">
        <v>0.65</v>
      </c>
      <c r="Q32" s="172">
        <v>0.65</v>
      </c>
      <c r="R32" s="172">
        <v>0.65</v>
      </c>
      <c r="S32" s="172">
        <v>0.65</v>
      </c>
      <c r="T32" s="172">
        <v>0.65</v>
      </c>
      <c r="U32" s="172">
        <v>0.65</v>
      </c>
      <c r="V32" s="172">
        <v>0.65</v>
      </c>
      <c r="W32" s="172">
        <v>0.65</v>
      </c>
      <c r="X32" s="172">
        <v>0.65</v>
      </c>
      <c r="Y32" s="172">
        <v>0.65</v>
      </c>
      <c r="Z32" s="172">
        <v>0.65</v>
      </c>
      <c r="AA32" s="172">
        <v>0.65</v>
      </c>
    </row>
    <row r="33" spans="1:27">
      <c r="A33" s="54" t="s">
        <v>100</v>
      </c>
      <c r="B33" s="13" t="s">
        <v>4</v>
      </c>
      <c r="C33" s="10" t="s">
        <v>5</v>
      </c>
      <c r="D33" s="51"/>
      <c r="E33" s="10" t="s">
        <v>6</v>
      </c>
      <c r="F33" s="10" t="s">
        <v>7</v>
      </c>
      <c r="M33" s="354">
        <v>1500</v>
      </c>
      <c r="N33" s="168">
        <v>1.05</v>
      </c>
      <c r="O33" s="168">
        <v>1.05</v>
      </c>
      <c r="P33" s="172">
        <v>0.65</v>
      </c>
      <c r="Q33" s="172">
        <v>0.65</v>
      </c>
      <c r="R33" s="172">
        <v>0.65</v>
      </c>
      <c r="S33" s="172">
        <v>0.65</v>
      </c>
      <c r="T33" s="172">
        <v>0.65</v>
      </c>
      <c r="U33" s="172">
        <v>0.65</v>
      </c>
      <c r="V33" s="172">
        <v>0.65</v>
      </c>
      <c r="W33" s="172">
        <v>0.65</v>
      </c>
      <c r="X33" s="172">
        <v>0.65</v>
      </c>
      <c r="Y33" s="172">
        <v>0.65</v>
      </c>
      <c r="Z33" s="172">
        <v>0.65</v>
      </c>
      <c r="AA33" s="172">
        <v>0.65</v>
      </c>
    </row>
    <row r="34" spans="1:27">
      <c r="A34" s="49" t="s">
        <v>246</v>
      </c>
      <c r="B34" s="114" t="s">
        <v>62</v>
      </c>
      <c r="C34" s="74">
        <f>IF(AND(C25=0.8,C26=0.6),E18+E19+E20,IF(AND(C25=0.8,C26=0.8),E18+E19+E20+E21,IF(AND(C25=0.6,C26=0.8),E21,IF(AND(C25=0.6,C26=0.6),0.0001))))</f>
        <v>48.384</v>
      </c>
      <c r="D34" s="49" t="s">
        <v>17</v>
      </c>
      <c r="E34" s="195">
        <f>'Ceny składowe'!C7</f>
        <v>4.2</v>
      </c>
      <c r="F34" s="195">
        <f>E34*C34</f>
        <v>203.21280000000002</v>
      </c>
      <c r="I34" s="196"/>
      <c r="J34" s="196"/>
      <c r="K34" s="196"/>
      <c r="L34" s="196"/>
    </row>
    <row r="35" spans="1:27">
      <c r="A35" s="49" t="s">
        <v>176</v>
      </c>
      <c r="B35" s="114" t="s">
        <v>62</v>
      </c>
      <c r="C35" s="74">
        <f>IF(AND(C25=0.8,C26=0.6),E21,IF(AND(C25=0.8,C26=0.8),0.0001,IF(AND(C25=0.6,C26=0.8),E18+E19+E20,IF(AND(C25=0.6,C26=0.6),E18+E19+E20+E21))))</f>
        <v>1E-4</v>
      </c>
      <c r="D35" s="49" t="s">
        <v>17</v>
      </c>
      <c r="E35" s="195">
        <f>'Ceny składowe'!C6</f>
        <v>4.3</v>
      </c>
      <c r="F35" s="195">
        <f t="shared" ref="F35:F41" si="1">E35*C35</f>
        <v>4.2999999999999999E-4</v>
      </c>
      <c r="I35" s="196"/>
      <c r="J35" s="196"/>
      <c r="K35" s="196"/>
      <c r="L35" s="196"/>
    </row>
    <row r="36" spans="1:27">
      <c r="A36" s="49" t="s">
        <v>453</v>
      </c>
      <c r="B36" s="114" t="s">
        <v>458</v>
      </c>
      <c r="C36" s="46">
        <f>C13+C14+C15</f>
        <v>3.5999999999999996</v>
      </c>
      <c r="D36" s="49" t="s">
        <v>19</v>
      </c>
      <c r="E36" s="195">
        <f>'Ceny składowe'!C62</f>
        <v>45.8</v>
      </c>
      <c r="F36" s="195">
        <f t="shared" si="1"/>
        <v>164.87999999999997</v>
      </c>
      <c r="I36" s="196"/>
      <c r="J36" s="196"/>
      <c r="K36" s="196"/>
      <c r="L36" s="196"/>
    </row>
    <row r="37" spans="1:27">
      <c r="A37" s="49" t="s">
        <v>337</v>
      </c>
      <c r="B37" s="114" t="s">
        <v>21</v>
      </c>
      <c r="C37" s="47">
        <f>IF(OR(C6&gt;1000,C7&gt;1000),0.0001,8)</f>
        <v>1E-4</v>
      </c>
      <c r="D37" s="49" t="s">
        <v>64</v>
      </c>
      <c r="E37" s="195">
        <f>'Ceny składowe'!C20</f>
        <v>0.27</v>
      </c>
      <c r="F37" s="195">
        <f t="shared" si="1"/>
        <v>2.7000000000000002E-5</v>
      </c>
      <c r="I37" s="196"/>
      <c r="J37" s="196"/>
      <c r="K37" s="196"/>
      <c r="L37" s="196"/>
    </row>
    <row r="38" spans="1:27">
      <c r="A38" s="49" t="s">
        <v>334</v>
      </c>
      <c r="B38" s="114" t="s">
        <v>20</v>
      </c>
      <c r="C38" s="47">
        <f>IF(OR(C6&gt;1000,C7&gt;1000),0.0001,C16)</f>
        <v>1E-4</v>
      </c>
      <c r="D38" s="49" t="s">
        <v>2</v>
      </c>
      <c r="E38" s="195">
        <f>'Ceny składowe'!C34</f>
        <v>1.89</v>
      </c>
      <c r="F38" s="195">
        <f t="shared" si="1"/>
        <v>1.8899999999999999E-4</v>
      </c>
      <c r="I38" s="196"/>
      <c r="J38" s="196"/>
      <c r="K38" s="196"/>
      <c r="L38" s="196"/>
    </row>
    <row r="39" spans="1:27">
      <c r="A39" s="49" t="s">
        <v>406</v>
      </c>
      <c r="B39" s="114" t="s">
        <v>20</v>
      </c>
      <c r="C39" s="46">
        <f>IF(OR(C6&gt;1000,C7&gt;1000),C16,0.0001)</f>
        <v>6.8</v>
      </c>
      <c r="D39" s="49" t="s">
        <v>2</v>
      </c>
      <c r="E39" s="195">
        <f>'Ceny składowe'!C36</f>
        <v>2.92</v>
      </c>
      <c r="F39" s="195">
        <f t="shared" si="1"/>
        <v>19.855999999999998</v>
      </c>
      <c r="I39" s="196"/>
      <c r="J39" s="196"/>
      <c r="K39" s="196"/>
      <c r="L39" s="196"/>
    </row>
    <row r="40" spans="1:27">
      <c r="A40" s="5" t="s">
        <v>336</v>
      </c>
      <c r="B40" s="114" t="s">
        <v>21</v>
      </c>
      <c r="C40" s="47">
        <f>IF(OR(C6&gt;1000,C7&gt;1000),8,0.0001)</f>
        <v>8</v>
      </c>
      <c r="D40" s="49" t="s">
        <v>2</v>
      </c>
      <c r="E40" s="195">
        <f>'Ceny składowe'!C22</f>
        <v>0.75</v>
      </c>
      <c r="F40" s="195">
        <f t="shared" si="1"/>
        <v>6</v>
      </c>
      <c r="I40" s="196"/>
      <c r="J40" s="196"/>
      <c r="K40" s="196"/>
      <c r="L40" s="196"/>
    </row>
    <row r="41" spans="1:27">
      <c r="A41" s="5" t="s">
        <v>675</v>
      </c>
      <c r="B41" s="49" t="s">
        <v>709</v>
      </c>
      <c r="C41" s="1">
        <v>0.05</v>
      </c>
      <c r="D41" s="5" t="s">
        <v>64</v>
      </c>
      <c r="E41" s="195">
        <f>'Ceny składowe'!C78</f>
        <v>9.1</v>
      </c>
      <c r="F41" s="195">
        <f t="shared" si="1"/>
        <v>0.45500000000000002</v>
      </c>
      <c r="I41"/>
      <c r="J41"/>
      <c r="K41"/>
      <c r="L41"/>
    </row>
    <row r="42" spans="1:27">
      <c r="I42"/>
      <c r="J42"/>
      <c r="K42" s="196"/>
      <c r="L42" s="196"/>
    </row>
    <row r="43" spans="1:27">
      <c r="E43" s="54" t="s">
        <v>43</v>
      </c>
      <c r="F43" s="200">
        <f>SUM(F34:F41)</f>
        <v>394.40444599999989</v>
      </c>
      <c r="I43"/>
      <c r="J43"/>
      <c r="K43"/>
    </row>
    <row r="44" spans="1:27">
      <c r="E44" s="54" t="s">
        <v>320</v>
      </c>
      <c r="F44" s="200">
        <f>IF(AND(C7&lt;=400,C6&lt;400),F43*5.35,IF(AND(C7&lt;=400,C6&gt;=400),F43*4.5,IF(AND(C7&lt;=600,C6&lt;400),F43*5.33,IF(AND(C7&lt;700,C6&lt;400),F43*5.2,IF(AND(C7&lt;=800,C6&lt;400),F43*5.22,IF(AND(C7&lt;=800,C6&gt;=400),F43*4.43,IF(AND(C7&lt;=1000,C6&lt;400),F43*3.76,IF(AND(C7&lt;=1000,C6&gt;=400),F43*3.76,IF(AND(C7&lt;=1200,C6&lt;400),F43*3.24,IF(AND(C7&lt;=1200,C6&gt;=400),F43*3.24,IF(AND(C7&lt;=1400,C6&lt;400),F43*2.87,IF(AND(C7&lt;=1400,C6&gt;=400),F43*2.87,IF(AND(C7&lt;=1800,C6&lt;400),F43*3.21,IF(AND(C7&lt;=1800,C6&gt;=400),F43*3.21,IF(AND(C7&gt;1800,C6&lt;400),F43*2.88,IF(AND(C7&gt;1800,C6&gt;=400),F43*2.88))))))))))))))))</f>
        <v>1131.9407600199997</v>
      </c>
      <c r="I44"/>
      <c r="J44"/>
      <c r="K44"/>
      <c r="L44" s="352"/>
    </row>
    <row r="45" spans="1:27">
      <c r="E45" s="54" t="s">
        <v>294</v>
      </c>
      <c r="F45" s="149">
        <f>(F44-F48)/F48</f>
        <v>1.2352504385792853</v>
      </c>
    </row>
    <row r="47" spans="1:27">
      <c r="B47" s="236" t="s">
        <v>411</v>
      </c>
      <c r="C47" s="237">
        <f>IF(AND(C8&lt;=1000,'Cennik Produkcja '!E52=100),28,IF(AND(C8&lt;=1000,'Cennik Produkcja '!E52=150),45,IF(AND(C8&lt;=1000,'Cennik Produkcja '!E52=200),40,IF(AND(C8&lt;=2000,'Cennik Produkcja '!E52=100),45,IF(AND(C8&lt;=2000,'Cennik Produkcja '!E52=150),68,IF(AND(C8&lt;=2000,'Cennik Produkcja '!E52=200),63))))))</f>
        <v>40</v>
      </c>
      <c r="D47" s="237" t="s">
        <v>412</v>
      </c>
      <c r="E47" s="239">
        <f>'Ceny składowe'!C94</f>
        <v>0.7</v>
      </c>
      <c r="F47" s="238">
        <f>(C47*'Cennik Produkcja '!F52)*E47</f>
        <v>112</v>
      </c>
    </row>
    <row r="48" spans="1:27">
      <c r="B48" s="159"/>
      <c r="C48" s="74"/>
      <c r="D48" s="74"/>
      <c r="E48" s="237" t="s">
        <v>413</v>
      </c>
      <c r="F48" s="240">
        <f>F43+F47</f>
        <v>506.40444599999989</v>
      </c>
    </row>
    <row r="54" spans="1:13">
      <c r="B54" s="48" t="s">
        <v>478</v>
      </c>
      <c r="F54" s="50"/>
      <c r="I54" s="54"/>
    </row>
    <row r="56" spans="1:13">
      <c r="B56" s="49" t="s">
        <v>3</v>
      </c>
      <c r="C56" s="47">
        <f>'Cennik Produkcja '!E57</f>
        <v>300</v>
      </c>
      <c r="D56" s="1" t="s">
        <v>27</v>
      </c>
      <c r="I56" s="50"/>
      <c r="J56" s="74"/>
      <c r="K56" s="49"/>
      <c r="L56" s="195"/>
      <c r="M56" s="195"/>
    </row>
    <row r="57" spans="1:13">
      <c r="B57" s="49" t="s">
        <v>1</v>
      </c>
      <c r="C57" s="47">
        <f>'Cennik Produkcja '!D57</f>
        <v>550</v>
      </c>
      <c r="D57" s="1" t="s">
        <v>27</v>
      </c>
      <c r="I57" s="50"/>
      <c r="J57" s="46"/>
      <c r="K57" s="49"/>
      <c r="L57" s="195"/>
      <c r="M57" s="195"/>
    </row>
    <row r="58" spans="1:13">
      <c r="B58" s="49" t="s">
        <v>56</v>
      </c>
      <c r="C58" s="1">
        <f>'Cennik Produkcja '!D59</f>
        <v>1000</v>
      </c>
      <c r="D58" s="1" t="s">
        <v>27</v>
      </c>
      <c r="I58" s="50"/>
      <c r="J58" s="46"/>
      <c r="K58" s="49"/>
      <c r="L58" s="195"/>
      <c r="M58" s="195"/>
    </row>
    <row r="59" spans="1:13">
      <c r="E59" s="5"/>
      <c r="I59" s="50"/>
      <c r="J59" s="46"/>
      <c r="K59" s="49"/>
      <c r="L59" s="195"/>
      <c r="M59" s="195"/>
    </row>
    <row r="60" spans="1:13">
      <c r="A60" s="92"/>
      <c r="B60" s="5" t="s">
        <v>454</v>
      </c>
      <c r="C60" s="1">
        <f>'Cennik Produkcja '!E59</f>
        <v>100</v>
      </c>
      <c r="D60" s="1" t="s">
        <v>27</v>
      </c>
      <c r="E60" s="74"/>
      <c r="I60" s="50"/>
      <c r="J60" s="46"/>
      <c r="K60" s="49"/>
      <c r="L60" s="195"/>
      <c r="M60" s="195"/>
    </row>
    <row r="61" spans="1:13">
      <c r="A61" s="92"/>
      <c r="B61" s="5" t="s">
        <v>75</v>
      </c>
      <c r="C61" s="1">
        <f>'Cennik Produkcja '!F59</f>
        <v>2</v>
      </c>
      <c r="D61" s="1" t="s">
        <v>10</v>
      </c>
      <c r="E61" s="7"/>
    </row>
    <row r="62" spans="1:13">
      <c r="B62" s="49" t="s">
        <v>400</v>
      </c>
      <c r="C62" s="1">
        <f>((C56*C58)*1)*C61/1000000</f>
        <v>0.6</v>
      </c>
      <c r="D62" s="1" t="s">
        <v>19</v>
      </c>
      <c r="E62" s="7">
        <f>IF(NOT(C60=100),0.0001,C62)</f>
        <v>0.6</v>
      </c>
      <c r="F62" s="274"/>
    </row>
    <row r="63" spans="1:13">
      <c r="B63" s="49" t="s">
        <v>401</v>
      </c>
      <c r="C63" s="1">
        <f>((C56*C58)*3)*C61/1000000</f>
        <v>1.8</v>
      </c>
      <c r="D63" s="1" t="s">
        <v>19</v>
      </c>
      <c r="E63" s="7">
        <f>IF(NOT(C60=150),0.0001,C63)</f>
        <v>1E-4</v>
      </c>
      <c r="F63" s="50"/>
    </row>
    <row r="64" spans="1:13">
      <c r="B64" s="49" t="s">
        <v>402</v>
      </c>
      <c r="C64" s="1">
        <f>((C56*C58)*2)*C61/1000000</f>
        <v>1.2</v>
      </c>
      <c r="D64" s="1" t="s">
        <v>19</v>
      </c>
      <c r="E64" s="7">
        <f>IF(NOT(C60=200),0.0001,C64)</f>
        <v>1E-4</v>
      </c>
      <c r="F64"/>
    </row>
    <row r="65" spans="1:11">
      <c r="B65" s="49" t="s">
        <v>46</v>
      </c>
      <c r="C65" s="1">
        <f>(C56+C56+C57+C57)*2/1000</f>
        <v>3.4</v>
      </c>
      <c r="D65" s="1" t="s">
        <v>2</v>
      </c>
      <c r="E65" s="7">
        <f>IF(C57&lt;=100,0,C65)</f>
        <v>3.4</v>
      </c>
      <c r="F65" s="12"/>
    </row>
    <row r="66" spans="1:11">
      <c r="B66" s="49" t="s">
        <v>477</v>
      </c>
      <c r="C66" s="1">
        <v>8</v>
      </c>
      <c r="D66" s="1" t="s">
        <v>10</v>
      </c>
      <c r="E66" s="7">
        <f>IF(C57&lt;=100,0,C66)</f>
        <v>8</v>
      </c>
      <c r="F66" s="1"/>
    </row>
    <row r="67" spans="1:11">
      <c r="E67" s="7"/>
      <c r="F67" s="275" t="s">
        <v>459</v>
      </c>
    </row>
    <row r="68" spans="1:11">
      <c r="B68" s="49" t="s">
        <v>47</v>
      </c>
      <c r="C68" s="1">
        <f>((C56+C56+C58+C58)*0.15)*C61/1000</f>
        <v>0.78</v>
      </c>
      <c r="D68" s="1" t="s">
        <v>19</v>
      </c>
      <c r="E68" s="7">
        <f>IF(C60=100,C68)</f>
        <v>0.78</v>
      </c>
      <c r="F68" s="12">
        <f>E68*C75*C77</f>
        <v>4.9920000000000009</v>
      </c>
      <c r="G68" s="5" t="s">
        <v>17</v>
      </c>
    </row>
    <row r="69" spans="1:11">
      <c r="B69" s="49" t="s">
        <v>48</v>
      </c>
      <c r="C69" s="1">
        <f>((C56+C56+C58+C58)*0.2)*C61/1000</f>
        <v>1.04</v>
      </c>
      <c r="D69" s="1" t="s">
        <v>19</v>
      </c>
      <c r="E69" s="7" t="b">
        <f>IF(C60=150,C69)</f>
        <v>0</v>
      </c>
      <c r="F69" s="12">
        <f>E69*C75*C77</f>
        <v>0</v>
      </c>
      <c r="G69" s="5" t="s">
        <v>17</v>
      </c>
    </row>
    <row r="70" spans="1:11">
      <c r="B70" s="49" t="s">
        <v>49</v>
      </c>
      <c r="C70" s="1">
        <f>((C56+C56+C58+C58)*0.25)*C61/1000</f>
        <v>1.3</v>
      </c>
      <c r="D70" s="1" t="s">
        <v>19</v>
      </c>
      <c r="E70" s="7" t="b">
        <f>IF(C60=200,C70)</f>
        <v>0</v>
      </c>
      <c r="F70" s="12">
        <f>E70*C75*C77</f>
        <v>0</v>
      </c>
      <c r="G70" s="5" t="s">
        <v>17</v>
      </c>
    </row>
    <row r="71" spans="1:11">
      <c r="B71" s="49" t="s">
        <v>50</v>
      </c>
      <c r="C71" s="1">
        <f>(C56+C56+C57+C57)*C58/1000000</f>
        <v>1.7</v>
      </c>
      <c r="D71" s="1" t="s">
        <v>19</v>
      </c>
      <c r="E71" s="7">
        <f>IF(C57&lt;=100,0,C71)</f>
        <v>1.7</v>
      </c>
      <c r="F71" s="13">
        <f>E71*C76*C77</f>
        <v>8.16</v>
      </c>
      <c r="G71" s="5" t="s">
        <v>17</v>
      </c>
    </row>
    <row r="72" spans="1:11">
      <c r="F72" s="50"/>
    </row>
    <row r="73" spans="1:11">
      <c r="B73" s="49" t="s">
        <v>51</v>
      </c>
      <c r="C73" s="93">
        <f>SUM(E68:E71)</f>
        <v>2.48</v>
      </c>
      <c r="D73" s="1" t="s">
        <v>19</v>
      </c>
      <c r="F73" s="13">
        <f>F68+F69+F70+F71</f>
        <v>13.152000000000001</v>
      </c>
      <c r="G73" s="5" t="s">
        <v>17</v>
      </c>
    </row>
    <row r="74" spans="1:11">
      <c r="F74" s="54"/>
    </row>
    <row r="75" spans="1:11">
      <c r="B75" s="49" t="s">
        <v>480</v>
      </c>
      <c r="C75" s="1">
        <f>IF(AND(C56&lt;=800,C58&lt;1000),0.6,IF(AND(C56&lt;=800,C58&gt;=1000),0.8,IF(AND(C56&gt;800,C58&lt;=1000),0.8,IF(AND(C56&gt;800,C58&gt;1000),0.8))))</f>
        <v>0.8</v>
      </c>
      <c r="D75" s="1" t="s">
        <v>27</v>
      </c>
      <c r="F75" s="1"/>
    </row>
    <row r="76" spans="1:11">
      <c r="B76" s="49" t="s">
        <v>479</v>
      </c>
      <c r="C76" s="1">
        <f>IF(AND(C56&lt;=800,C57&lt;=800),0.6,IF(AND(C56&lt;=800,C57&gt;800),0.8,IF(AND(C56&gt;800,C57&lt;=800),0.8,IF(AND(C56&gt;800,C57&gt;800),0.8))))</f>
        <v>0.6</v>
      </c>
      <c r="D76" s="1" t="s">
        <v>27</v>
      </c>
      <c r="F76" s="1"/>
    </row>
    <row r="77" spans="1:11">
      <c r="B77" s="49" t="s">
        <v>53</v>
      </c>
      <c r="C77" s="1">
        <v>8</v>
      </c>
      <c r="F77" s="1"/>
    </row>
    <row r="78" spans="1:11">
      <c r="F78" s="50"/>
    </row>
    <row r="79" spans="1:11">
      <c r="F79" s="50"/>
    </row>
    <row r="80" spans="1:11">
      <c r="A80" s="54" t="s">
        <v>100</v>
      </c>
      <c r="B80" s="13" t="s">
        <v>4</v>
      </c>
      <c r="C80" s="10" t="s">
        <v>5</v>
      </c>
      <c r="D80" s="51"/>
      <c r="E80" s="10" t="s">
        <v>6</v>
      </c>
      <c r="F80" s="10" t="s">
        <v>7</v>
      </c>
      <c r="H80" s="618" t="s">
        <v>464</v>
      </c>
      <c r="I80" s="618"/>
      <c r="J80" s="618"/>
      <c r="K80" s="618"/>
    </row>
    <row r="81" spans="1:14">
      <c r="A81" s="49" t="s">
        <v>246</v>
      </c>
      <c r="B81" s="50" t="s">
        <v>62</v>
      </c>
      <c r="C81" s="74">
        <f>IF(AND(C75=0.8,C76=0.6),F68+F69+F70,IF(AND(C75=0.8,C76=0.8),F68+F69+F70+F71,IF(AND(C75=0.6,C76=0.8),F71,IF(AND(C75=0.6,C76=0.6),0.0001))))</f>
        <v>4.9920000000000009</v>
      </c>
      <c r="D81" s="49" t="s">
        <v>17</v>
      </c>
      <c r="E81" s="195">
        <f>'Ceny składowe'!C7</f>
        <v>4.2</v>
      </c>
      <c r="F81" s="195">
        <f t="shared" ref="F81:F90" si="2">C81*E81</f>
        <v>20.966400000000004</v>
      </c>
      <c r="H81" s="50" t="s">
        <v>465</v>
      </c>
      <c r="I81" s="1">
        <f>((C56*C58)*2)/1000000</f>
        <v>0.6</v>
      </c>
      <c r="J81" s="7">
        <f>IF(NOT(C60=200),0,I81)</f>
        <v>0</v>
      </c>
      <c r="L81" s="5" t="s">
        <v>19</v>
      </c>
      <c r="M81" s="195">
        <f>J81*E83</f>
        <v>0</v>
      </c>
    </row>
    <row r="82" spans="1:14">
      <c r="A82" s="49" t="s">
        <v>176</v>
      </c>
      <c r="B82" s="50" t="s">
        <v>62</v>
      </c>
      <c r="C82" s="74">
        <f>IF(AND(C75=0.8,C76=0.6),F71,IF(AND(C75=0.8,C76=0.8),0.0001,IF(AND(C75=0.6,C76=0.8),F68+F69+F70,IF(AND(C75=0.6,C76=0.6),F68+F69+F70+F71))))</f>
        <v>8.16</v>
      </c>
      <c r="D82" s="49" t="s">
        <v>17</v>
      </c>
      <c r="E82" s="195">
        <f>'Ceny składowe'!C6</f>
        <v>4.3</v>
      </c>
      <c r="F82" s="195">
        <f t="shared" si="2"/>
        <v>35.088000000000001</v>
      </c>
      <c r="H82" s="50" t="s">
        <v>466</v>
      </c>
      <c r="I82" s="1">
        <f>((C56*C58)*1)/1000000</f>
        <v>0.3</v>
      </c>
      <c r="J82" s="7">
        <f>IF(NOT(C60=100),0,I82)</f>
        <v>0.3</v>
      </c>
      <c r="L82" s="5" t="s">
        <v>19</v>
      </c>
      <c r="M82" s="195">
        <f>J82*E84</f>
        <v>13.739999999999998</v>
      </c>
    </row>
    <row r="83" spans="1:14">
      <c r="A83" s="49" t="s">
        <v>788</v>
      </c>
      <c r="B83" s="50" t="s">
        <v>789</v>
      </c>
      <c r="C83" s="46">
        <f>IF(OR(C60=200),E64,0.0001)</f>
        <v>1E-4</v>
      </c>
      <c r="D83" s="49" t="s">
        <v>19</v>
      </c>
      <c r="E83" s="195">
        <f>'Ceny składowe'!C62</f>
        <v>45.8</v>
      </c>
      <c r="F83" s="195">
        <f t="shared" si="2"/>
        <v>4.5799999999999999E-3</v>
      </c>
      <c r="H83" s="50" t="s">
        <v>467</v>
      </c>
      <c r="I83" s="1">
        <f>((C56*C58)*3)/1000000</f>
        <v>0.9</v>
      </c>
      <c r="J83" s="7">
        <f>IF(NOT(C60=150),0,I83)</f>
        <v>0</v>
      </c>
      <c r="L83" s="5" t="s">
        <v>19</v>
      </c>
      <c r="M83" s="195">
        <f>J83*E85</f>
        <v>0</v>
      </c>
    </row>
    <row r="84" spans="1:14">
      <c r="A84" s="49" t="s">
        <v>453</v>
      </c>
      <c r="B84" s="50" t="s">
        <v>458</v>
      </c>
      <c r="C84" s="46">
        <f>IF(OR(C60=100),E62,0.0001)</f>
        <v>0.6</v>
      </c>
      <c r="D84" s="49" t="s">
        <v>19</v>
      </c>
      <c r="E84" s="195">
        <f>'Ceny składowe'!C62</f>
        <v>45.8</v>
      </c>
      <c r="F84" s="195">
        <f t="shared" si="2"/>
        <v>27.479999999999997</v>
      </c>
      <c r="H84" s="1" t="s">
        <v>468</v>
      </c>
      <c r="I84" s="1">
        <f>((C56+C56+C58+C58)*0.15)/1000</f>
        <v>0.39</v>
      </c>
      <c r="J84" s="276">
        <f>IF(NOT(C60=100),0,I84)</f>
        <v>0.39</v>
      </c>
      <c r="K84" s="277">
        <f>J84*C75*C77</f>
        <v>2.4960000000000004</v>
      </c>
      <c r="L84" s="278" t="s">
        <v>17</v>
      </c>
      <c r="M84" s="76" t="s">
        <v>112</v>
      </c>
    </row>
    <row r="85" spans="1:14">
      <c r="A85" s="49" t="s">
        <v>948</v>
      </c>
      <c r="B85" s="50" t="s">
        <v>456</v>
      </c>
      <c r="C85" s="46">
        <f>IF(OR(C60=150),E63,0.0001)</f>
        <v>1E-4</v>
      </c>
      <c r="D85" s="49" t="s">
        <v>19</v>
      </c>
      <c r="E85" s="195">
        <f>'Ceny składowe'!C60</f>
        <v>57.17</v>
      </c>
      <c r="F85" s="195">
        <f>IF(C85&gt;0.1,C85*E85,0)</f>
        <v>0</v>
      </c>
      <c r="H85" s="1" t="s">
        <v>469</v>
      </c>
      <c r="I85" s="1">
        <f>((C56+C56+C58+C58)*0.2)/1000</f>
        <v>0.52</v>
      </c>
      <c r="J85" s="276">
        <f>IF(NOT(C60=120),0,I85)</f>
        <v>0</v>
      </c>
      <c r="K85" s="277">
        <f>J85*C75*C77</f>
        <v>0</v>
      </c>
      <c r="L85" s="278" t="s">
        <v>17</v>
      </c>
      <c r="M85" s="277">
        <f>K84+K85+K86</f>
        <v>2.4960000000000004</v>
      </c>
      <c r="N85" s="49"/>
    </row>
    <row r="86" spans="1:14">
      <c r="A86" s="49" t="s">
        <v>337</v>
      </c>
      <c r="B86" s="50" t="s">
        <v>21</v>
      </c>
      <c r="C86" s="46">
        <f>IF(OR(C56&gt;1000,C57&gt;1000),0.0001,E66)</f>
        <v>8</v>
      </c>
      <c r="D86" s="49" t="s">
        <v>64</v>
      </c>
      <c r="E86" s="195">
        <f>'Ceny składowe'!C20</f>
        <v>0.27</v>
      </c>
      <c r="F86" s="195">
        <f t="shared" si="2"/>
        <v>2.16</v>
      </c>
      <c r="H86" s="1" t="s">
        <v>470</v>
      </c>
      <c r="I86" s="1">
        <f>((C56+C56+C58+C58)*0.25)/1000</f>
        <v>0.65</v>
      </c>
      <c r="J86" s="276">
        <f>IF(NOT(C60=200),0,I86)</f>
        <v>0</v>
      </c>
      <c r="K86" s="277">
        <f>J86*C75*C77</f>
        <v>0</v>
      </c>
      <c r="L86" s="278" t="s">
        <v>17</v>
      </c>
      <c r="M86" s="76"/>
    </row>
    <row r="87" spans="1:14">
      <c r="A87" s="49" t="s">
        <v>334</v>
      </c>
      <c r="B87" s="50" t="s">
        <v>20</v>
      </c>
      <c r="C87" s="46">
        <f>IF(OR(C56&gt;1000,C57&gt;1000),0.0001,E65)</f>
        <v>3.4</v>
      </c>
      <c r="D87" s="49" t="s">
        <v>2</v>
      </c>
      <c r="E87" s="195">
        <f>'Ceny składowe'!C34</f>
        <v>1.89</v>
      </c>
      <c r="F87" s="195">
        <f t="shared" si="2"/>
        <v>6.4259999999999993</v>
      </c>
      <c r="H87" s="1"/>
      <c r="J87" s="1" t="s">
        <v>471</v>
      </c>
      <c r="K87" s="74">
        <f>IF(OR(C56&gt;800,C58&gt;=1000),0,M85)</f>
        <v>0</v>
      </c>
      <c r="L87" s="5" t="s">
        <v>17</v>
      </c>
      <c r="M87" s="195">
        <f>K87*E82</f>
        <v>0</v>
      </c>
    </row>
    <row r="88" spans="1:14">
      <c r="A88" s="49" t="s">
        <v>406</v>
      </c>
      <c r="B88" s="50" t="s">
        <v>20</v>
      </c>
      <c r="C88" s="46">
        <f>IF(OR(C56&gt;1000,C57&gt;1000),E65,0.0001)</f>
        <v>1E-4</v>
      </c>
      <c r="D88" s="49" t="s">
        <v>2</v>
      </c>
      <c r="E88" s="195">
        <f>'Ceny składowe'!C36</f>
        <v>2.92</v>
      </c>
      <c r="F88" s="195">
        <f t="shared" si="2"/>
        <v>2.92E-4</v>
      </c>
      <c r="H88" s="1"/>
      <c r="J88" s="1" t="s">
        <v>472</v>
      </c>
      <c r="K88" s="74">
        <f>IF(OR(C56&gt;800,C58&gt;=1000),M85,0)</f>
        <v>2.4960000000000004</v>
      </c>
      <c r="L88" s="5" t="s">
        <v>17</v>
      </c>
      <c r="M88" s="195">
        <f>K88*E81</f>
        <v>10.483200000000002</v>
      </c>
    </row>
    <row r="89" spans="1:14">
      <c r="A89" s="5" t="s">
        <v>336</v>
      </c>
      <c r="B89" s="50" t="s">
        <v>21</v>
      </c>
      <c r="C89" s="47">
        <f>IF(OR(C56&gt;1000,C57&gt;1000),E66,0.0001)</f>
        <v>1E-4</v>
      </c>
      <c r="D89" s="49" t="s">
        <v>2</v>
      </c>
      <c r="E89" s="195">
        <f>'Ceny składowe'!C22</f>
        <v>0.75</v>
      </c>
      <c r="F89" s="195">
        <f t="shared" si="2"/>
        <v>7.5000000000000007E-5</v>
      </c>
      <c r="H89" s="1"/>
    </row>
    <row r="90" spans="1:14">
      <c r="A90" s="5" t="s">
        <v>675</v>
      </c>
      <c r="B90" s="50" t="s">
        <v>709</v>
      </c>
      <c r="C90" s="74">
        <v>0.05</v>
      </c>
      <c r="D90" s="49" t="s">
        <v>64</v>
      </c>
      <c r="E90" s="195">
        <f>'Ceny składowe'!C78</f>
        <v>9.1</v>
      </c>
      <c r="F90" s="195">
        <f t="shared" si="2"/>
        <v>0.45500000000000002</v>
      </c>
      <c r="H90" s="1"/>
      <c r="K90" s="54" t="s">
        <v>22</v>
      </c>
      <c r="M90" s="200">
        <f>M81+M82+M83+M87+M88</f>
        <v>24.223199999999999</v>
      </c>
    </row>
    <row r="91" spans="1:14">
      <c r="H91" s="1"/>
      <c r="K91" s="54" t="s">
        <v>474</v>
      </c>
      <c r="M91" s="200">
        <f>M90*5</f>
        <v>121.11599999999999</v>
      </c>
    </row>
    <row r="92" spans="1:14">
      <c r="E92" s="54" t="s">
        <v>43</v>
      </c>
      <c r="F92" s="200">
        <f>SUM(F81:F90)</f>
        <v>92.580346999999989</v>
      </c>
      <c r="H92" s="1"/>
      <c r="K92" s="54" t="s">
        <v>294</v>
      </c>
      <c r="M92" s="281">
        <f>(M91-M95)/M95</f>
        <v>2.1686514996128006</v>
      </c>
    </row>
    <row r="93" spans="1:14">
      <c r="E93" s="54" t="s">
        <v>320</v>
      </c>
      <c r="F93" s="200">
        <f>IF(AND(C57&lt;=400,C56&lt;400),F92*5.35,IF(AND(C57&lt;=400,C56&gt;=400),F92*4.5,IF(AND(C57&lt;=600,C56&lt;400),F92*5.33,IF(AND(C57&lt;700,C56&lt;400),F92*5.2,IF(AND(C57&lt;=800,C56&lt;400),F92*5.22,IF(AND(C57&lt;=800,C56&gt;=400),F92*4.43,IF(AND(C57&lt;=1000,C56&lt;400),F92*3.76,IF(AND(C57&lt;=1000,C56&gt;=400),F92*3.76,IF(AND(C57&lt;=1200,C56&lt;400),F92*3.24,IF(AND(C57&lt;=1200,C56&gt;=400),F92*3.24,IF(AND(C57&lt;=1400,C56&lt;400),F92*2.87,IF(AND(C57&lt;=1400,C56&gt;=400),F92*2.87,IF(AND(C57&lt;=1800,C56&lt;400),F92*3.21,IF(AND(C57&lt;=1800,C56&gt;=400),F92*3.21,IF(AND(C57&gt;1800,C56&lt;400),F92*2.88,IF(AND(C57&gt;1800,C56&gt;=400),F92*2.88))))))))))))))))</f>
        <v>493.45324950999992</v>
      </c>
      <c r="H93" s="1"/>
    </row>
    <row r="94" spans="1:14">
      <c r="E94" s="54" t="s">
        <v>294</v>
      </c>
      <c r="F94" s="149">
        <f>(F93-F97)/F97</f>
        <v>2.7445132050684311</v>
      </c>
      <c r="H94" s="1"/>
      <c r="I94" s="236" t="s">
        <v>411</v>
      </c>
      <c r="J94" s="237">
        <f>IF(AND(C58&lt;=1000,C60=100),20,IF(AND(C58&lt;=1000,C60=150),30,IF(AND(C58&lt;=1000,C60=200),25,IF(AND(C58&lt;=2000,C60=100),30,IF(AND(C58&lt;=2000,C60=150),40,IF(AND(C58&lt;=2000,C60=200),35))))))</f>
        <v>20</v>
      </c>
      <c r="K94" s="237" t="s">
        <v>412</v>
      </c>
      <c r="L94" s="239">
        <f>'Ceny składowe'!C94</f>
        <v>0.7</v>
      </c>
      <c r="M94" s="238">
        <f>J94*L94</f>
        <v>14</v>
      </c>
    </row>
    <row r="95" spans="1:14">
      <c r="H95" s="1"/>
      <c r="I95" s="159"/>
      <c r="J95" s="74"/>
      <c r="K95" s="74"/>
      <c r="L95" s="237" t="s">
        <v>413</v>
      </c>
      <c r="M95" s="240">
        <f>M90+M94</f>
        <v>38.223199999999999</v>
      </c>
    </row>
    <row r="96" spans="1:14">
      <c r="B96" s="236" t="s">
        <v>411</v>
      </c>
      <c r="C96" s="237">
        <f>IF(AND(C58&lt;=1000,C60=100),28,IF(AND(C58&lt;=1000,C60=150),45,IF(AND(C58&lt;=1000,C60=200),40,IF(AND(C58&lt;=2000,C60=100),45,IF(AND(C58&lt;=2000,C60=150),68,IF(AND(C58&lt;=2000,C60=200),63))))))</f>
        <v>28</v>
      </c>
      <c r="D96" s="237" t="s">
        <v>412</v>
      </c>
      <c r="E96" s="239">
        <f>'Ceny składowe'!C94</f>
        <v>0.7</v>
      </c>
      <c r="F96" s="238">
        <f>(C96*C61)*E96</f>
        <v>39.199999999999996</v>
      </c>
    </row>
    <row r="97" spans="2:6">
      <c r="B97" s="159"/>
      <c r="C97" s="74"/>
      <c r="D97" s="74"/>
      <c r="E97" s="237" t="s">
        <v>413</v>
      </c>
      <c r="F97" s="240">
        <f>F92+F96</f>
        <v>131.78034699999998</v>
      </c>
    </row>
  </sheetData>
  <mergeCells count="1">
    <mergeCell ref="H80:K80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S114"/>
  <sheetViews>
    <sheetView workbookViewId="0">
      <selection activeCell="B32" sqref="B32"/>
    </sheetView>
  </sheetViews>
  <sheetFormatPr defaultRowHeight="14.4"/>
  <cols>
    <col min="1" max="1" width="32.33203125" style="100" customWidth="1"/>
    <col min="2" max="2" width="36.33203125" customWidth="1"/>
    <col min="3" max="3" width="12.6640625" customWidth="1"/>
    <col min="4" max="4" width="12.44140625" customWidth="1"/>
    <col min="5" max="5" width="14.33203125" customWidth="1"/>
    <col min="6" max="6" width="15.109375" customWidth="1"/>
    <col min="7" max="7" width="22" customWidth="1"/>
    <col min="8" max="8" width="28.33203125" customWidth="1"/>
    <col min="9" max="9" width="30.88671875" customWidth="1"/>
    <col min="10" max="10" width="15.6640625" customWidth="1"/>
    <col min="11" max="11" width="13.5546875" customWidth="1"/>
    <col min="12" max="12" width="11.109375" customWidth="1"/>
    <col min="13" max="13" width="13.6640625" customWidth="1"/>
    <col min="14" max="14" width="12.33203125" customWidth="1"/>
    <col min="15" max="15" width="12.6640625" customWidth="1"/>
  </cols>
  <sheetData>
    <row r="4" spans="2:18">
      <c r="B4" s="73" t="s">
        <v>907</v>
      </c>
    </row>
    <row r="5" spans="2:18">
      <c r="G5" s="50"/>
    </row>
    <row r="6" spans="2:18">
      <c r="B6" t="s">
        <v>88</v>
      </c>
      <c r="C6">
        <f>'Cennik Produkcja '!D68</f>
        <v>400</v>
      </c>
      <c r="D6" t="s">
        <v>27</v>
      </c>
      <c r="G6" s="100"/>
      <c r="J6" t="s">
        <v>344</v>
      </c>
      <c r="K6" t="s">
        <v>345</v>
      </c>
      <c r="L6" t="s">
        <v>346</v>
      </c>
    </row>
    <row r="7" spans="2:18">
      <c r="B7" t="s">
        <v>89</v>
      </c>
      <c r="C7" s="90">
        <f>'Cennik Produkcja '!E68</f>
        <v>1200</v>
      </c>
      <c r="D7" t="s">
        <v>27</v>
      </c>
      <c r="G7" s="100"/>
      <c r="H7">
        <f t="shared" ref="H7:H14" si="0">IF($D$8=J7,1,0)</f>
        <v>0</v>
      </c>
      <c r="I7" t="s">
        <v>347</v>
      </c>
      <c r="J7" s="92">
        <v>200</v>
      </c>
      <c r="K7" s="1">
        <v>100</v>
      </c>
      <c r="L7" s="2">
        <f>'Kalkulacje spiro'!S16</f>
        <v>34.814292015936267</v>
      </c>
    </row>
    <row r="8" spans="2:18">
      <c r="B8" t="s">
        <v>476</v>
      </c>
      <c r="C8">
        <f>C6+'Cennik Produkcja '!D66*2</f>
        <v>500</v>
      </c>
      <c r="D8" s="284">
        <f>IF(C8=180,200,IF(C8=200,200,IF(C8=225,250,IF(C8=240,250,IF(C8=260,315,IF(C8=300,315,IF(C8=325,355,IF(C8=350,355,IF(C8=395,400,IF(C8=360,400,IF(C8=400,400,IF(C8=415,450,IF(C8=425,450,IF(C8=450,450,IF(C8=455,450,IF(C8=460,500,IF(C8=500,500,IF(C8=515,560,IF(C8=550,560,IF(C8=555,560,IF(C8=600,630,IF(C8=615,630,IF(C8=620,630,IF(C8=650,710,IF(C8=655,710,IF(C8=700,710,IF(C8=730,800,IF(C8=750,800,IF(C8=800,800,IF(C8=810,900,IF(C8=830,900)))))))))))))))))))))))))))))))</f>
        <v>500</v>
      </c>
      <c r="G8" s="100"/>
      <c r="H8">
        <f t="shared" si="0"/>
        <v>0</v>
      </c>
      <c r="I8" t="s">
        <v>348</v>
      </c>
      <c r="J8" s="144">
        <v>250</v>
      </c>
      <c r="K8" s="1">
        <v>125</v>
      </c>
      <c r="L8" s="2">
        <f>'Kalkulacje spiro'!S18</f>
        <v>45.04957601593626</v>
      </c>
    </row>
    <row r="9" spans="2:18">
      <c r="B9" t="s">
        <v>949</v>
      </c>
      <c r="C9" s="86">
        <f>(((3.14*C6))*65)*2/1000000</f>
        <v>0.16328000000000001</v>
      </c>
      <c r="D9" t="s">
        <v>19</v>
      </c>
      <c r="E9" s="86">
        <f>C9*4.8</f>
        <v>0.783744</v>
      </c>
      <c r="F9" t="s">
        <v>17</v>
      </c>
      <c r="H9">
        <f t="shared" si="0"/>
        <v>0</v>
      </c>
      <c r="I9" t="s">
        <v>348</v>
      </c>
      <c r="J9" s="123">
        <v>250</v>
      </c>
      <c r="K9" s="117">
        <v>160</v>
      </c>
      <c r="L9" s="2">
        <f>'Kalkulacje spiro'!S18</f>
        <v>45.04957601593626</v>
      </c>
      <c r="M9" s="10"/>
      <c r="N9" s="53"/>
      <c r="O9" s="4"/>
      <c r="P9" s="49"/>
    </row>
    <row r="10" spans="2:18">
      <c r="B10" t="s">
        <v>824</v>
      </c>
      <c r="C10" s="574">
        <f>((3.14*(((C6+('Cennik Produkcja '!D66*2))/2)^2))*2)/1000000</f>
        <v>0.39250000000000002</v>
      </c>
      <c r="D10" t="s">
        <v>19</v>
      </c>
      <c r="E10" s="86">
        <f>C10*6.4</f>
        <v>2.5120000000000005</v>
      </c>
      <c r="F10" t="s">
        <v>17</v>
      </c>
      <c r="G10" s="381"/>
      <c r="H10">
        <f t="shared" si="0"/>
        <v>0</v>
      </c>
      <c r="I10" t="s">
        <v>397</v>
      </c>
      <c r="J10" s="123">
        <v>315</v>
      </c>
      <c r="K10" s="117">
        <v>200</v>
      </c>
      <c r="L10" s="2">
        <f>'Kalkulacje spiro'!S20</f>
        <v>56.122409215936258</v>
      </c>
      <c r="M10" s="10"/>
      <c r="N10" s="53"/>
      <c r="O10" s="4"/>
      <c r="Q10" s="2"/>
      <c r="R10" s="2"/>
    </row>
    <row r="11" spans="2:18">
      <c r="B11" t="s">
        <v>92</v>
      </c>
      <c r="C11" s="86">
        <f>(((C6+(2*'Cennik Produkcja '!D66))*3.14)*('Cennik Produkcja '!E68+30)/1000000)</f>
        <v>1.9311</v>
      </c>
      <c r="D11" t="s">
        <v>19</v>
      </c>
      <c r="E11" s="86">
        <f>C11*4.8</f>
        <v>9.2692800000000002</v>
      </c>
      <c r="F11" t="s">
        <v>17</v>
      </c>
      <c r="G11" s="100"/>
      <c r="H11">
        <f t="shared" si="0"/>
        <v>0</v>
      </c>
      <c r="I11" t="s">
        <v>349</v>
      </c>
      <c r="J11" s="201">
        <v>355</v>
      </c>
      <c r="K11" s="117">
        <v>250</v>
      </c>
      <c r="L11" s="2">
        <f>'Kalkulacje spiro'!S21</f>
        <v>72.646555030646653</v>
      </c>
      <c r="M11" s="10"/>
      <c r="N11" s="53"/>
      <c r="O11" s="4"/>
      <c r="Q11" s="2"/>
      <c r="R11" s="2"/>
    </row>
    <row r="12" spans="2:18">
      <c r="B12" t="s">
        <v>91</v>
      </c>
      <c r="C12" s="86">
        <f>(((C6+10)*3.14)*C7)/1000000</f>
        <v>1.54488</v>
      </c>
      <c r="D12" t="s">
        <v>19</v>
      </c>
      <c r="G12" s="100"/>
      <c r="H12">
        <f t="shared" si="0"/>
        <v>0</v>
      </c>
      <c r="I12" t="s">
        <v>350</v>
      </c>
      <c r="J12" s="202">
        <v>400</v>
      </c>
      <c r="K12" s="117">
        <v>315</v>
      </c>
      <c r="L12" s="2">
        <f>'Kalkulacje spiro'!S22</f>
        <v>81.863826121600567</v>
      </c>
      <c r="M12" s="10"/>
      <c r="N12" s="53"/>
      <c r="O12" s="4"/>
      <c r="Q12" s="2"/>
      <c r="R12" s="2"/>
    </row>
    <row r="13" spans="2:18">
      <c r="B13" t="s">
        <v>90</v>
      </c>
      <c r="C13" s="86">
        <f>(((C6+'Cennik Produkcja '!D66*2)*3.14)*C7)/1000000</f>
        <v>1.8839999999999999</v>
      </c>
      <c r="D13" t="s">
        <v>19</v>
      </c>
      <c r="G13" s="100"/>
      <c r="H13">
        <f t="shared" si="0"/>
        <v>0</v>
      </c>
      <c r="I13" t="s">
        <v>351</v>
      </c>
      <c r="J13" s="202">
        <v>450</v>
      </c>
      <c r="K13" s="117">
        <v>355</v>
      </c>
      <c r="L13" s="2">
        <f>'Kalkulacje spiro'!S23</f>
        <v>92.101930431216317</v>
      </c>
      <c r="M13" s="10"/>
      <c r="N13" s="53"/>
      <c r="O13" s="4"/>
      <c r="Q13" s="2"/>
      <c r="R13" s="2"/>
    </row>
    <row r="14" spans="2:18">
      <c r="F14" s="86"/>
      <c r="G14" s="100"/>
      <c r="H14">
        <f t="shared" si="0"/>
        <v>1</v>
      </c>
      <c r="I14" t="s">
        <v>352</v>
      </c>
      <c r="J14" s="202">
        <v>500</v>
      </c>
      <c r="K14" s="117">
        <v>400</v>
      </c>
      <c r="L14" s="2">
        <f>'Kalkulacje spiro'!S24</f>
        <v>119.0945526520007</v>
      </c>
      <c r="M14" s="10"/>
      <c r="N14" s="53"/>
      <c r="O14" s="4"/>
      <c r="P14" s="2"/>
      <c r="Q14" s="2"/>
      <c r="R14" s="2"/>
    </row>
    <row r="15" spans="2:18">
      <c r="B15" t="s">
        <v>52</v>
      </c>
      <c r="C15">
        <v>0.6</v>
      </c>
      <c r="D15">
        <v>0.8</v>
      </c>
      <c r="E15" s="52"/>
      <c r="F15" s="86"/>
      <c r="G15" s="100"/>
      <c r="H15">
        <f>IF($DC$8=J15,1,0)</f>
        <v>0</v>
      </c>
      <c r="I15" t="s">
        <v>353</v>
      </c>
      <c r="J15" s="202">
        <v>560</v>
      </c>
      <c r="K15" s="117">
        <v>450</v>
      </c>
      <c r="L15" s="2">
        <f>'Kalkulacje spiro'!S25</f>
        <v>133.39131757053738</v>
      </c>
      <c r="M15" s="10"/>
      <c r="N15" s="53"/>
      <c r="O15" s="4"/>
      <c r="P15" s="2"/>
      <c r="Q15" s="2"/>
      <c r="R15" s="2"/>
    </row>
    <row r="16" spans="2:18">
      <c r="B16" t="s">
        <v>53</v>
      </c>
      <c r="C16">
        <v>8</v>
      </c>
      <c r="F16" s="86"/>
      <c r="G16" s="100"/>
      <c r="H16">
        <f>IF(D$8=J16,1,0)</f>
        <v>0</v>
      </c>
      <c r="I16" t="s">
        <v>354</v>
      </c>
      <c r="J16" s="202">
        <v>630</v>
      </c>
      <c r="K16" s="117">
        <v>500</v>
      </c>
      <c r="L16" s="2">
        <f>'Kalkulacje spiro'!S26</f>
        <v>150.04919854224747</v>
      </c>
      <c r="P16" s="2"/>
      <c r="Q16" s="2"/>
      <c r="R16" s="2"/>
    </row>
    <row r="17" spans="1:19">
      <c r="F17" s="86"/>
      <c r="G17" s="100"/>
      <c r="H17">
        <f>IF($D$8=J17,1,0)</f>
        <v>0</v>
      </c>
      <c r="I17" t="s">
        <v>355</v>
      </c>
      <c r="J17" s="203">
        <v>710</v>
      </c>
      <c r="K17" s="117">
        <v>630</v>
      </c>
      <c r="L17" s="2">
        <f>'Kalkulacje spiro'!S27</f>
        <v>169.07047846129331</v>
      </c>
      <c r="M17" s="2"/>
      <c r="N17" s="2"/>
      <c r="O17" s="2"/>
      <c r="P17" s="2"/>
      <c r="Q17" s="2"/>
      <c r="R17" s="2"/>
    </row>
    <row r="18" spans="1:19">
      <c r="B18" t="s">
        <v>54</v>
      </c>
      <c r="C18" s="70">
        <f>(C9+C11)*C15*C16</f>
        <v>10.053024000000001</v>
      </c>
      <c r="D18" t="s">
        <v>17</v>
      </c>
      <c r="F18" s="86"/>
      <c r="G18" s="100"/>
      <c r="H18">
        <f>IF($D$8=J18,1,0)</f>
        <v>0</v>
      </c>
      <c r="I18" t="s">
        <v>356</v>
      </c>
      <c r="J18" s="203">
        <v>800</v>
      </c>
      <c r="K18" s="117">
        <v>710</v>
      </c>
      <c r="L18" s="2">
        <f>'Kalkulacje spiro'!S28</f>
        <v>190.60183908743977</v>
      </c>
      <c r="M18" s="2"/>
      <c r="N18" s="2"/>
      <c r="O18" s="2"/>
      <c r="P18" s="2"/>
      <c r="Q18" s="2"/>
      <c r="R18" s="2"/>
    </row>
    <row r="19" spans="1:19">
      <c r="B19" t="s">
        <v>55</v>
      </c>
      <c r="C19" s="70">
        <f>C18/1000</f>
        <v>1.0053024000000001E-2</v>
      </c>
      <c r="D19" t="s">
        <v>23</v>
      </c>
      <c r="F19" s="86"/>
      <c r="G19" s="100"/>
      <c r="H19">
        <f>IF($D$8=J19,1,0)</f>
        <v>0</v>
      </c>
      <c r="I19" t="s">
        <v>357</v>
      </c>
      <c r="J19" s="203">
        <v>900</v>
      </c>
      <c r="K19" s="117">
        <v>800</v>
      </c>
      <c r="L19" s="2">
        <f>'Kalkulacje spiro'!S29</f>
        <v>280.95436086243262</v>
      </c>
      <c r="M19" s="2"/>
      <c r="N19" s="2"/>
      <c r="O19" s="2"/>
      <c r="P19" s="2"/>
      <c r="Q19" s="2"/>
      <c r="R19" s="2"/>
    </row>
    <row r="20" spans="1:19">
      <c r="F20" s="86"/>
      <c r="G20" s="100"/>
      <c r="I20" s="74"/>
      <c r="J20" s="203"/>
      <c r="K20" s="7"/>
      <c r="M20" s="2"/>
      <c r="N20" s="2"/>
      <c r="O20" s="2"/>
      <c r="P20" s="2"/>
      <c r="Q20" s="2"/>
      <c r="R20" s="2"/>
    </row>
    <row r="21" spans="1:19">
      <c r="F21" s="86"/>
      <c r="G21" s="100"/>
      <c r="H21" s="100"/>
      <c r="I21" s="74"/>
      <c r="J21" s="203"/>
      <c r="K21" s="7"/>
      <c r="M21" s="2"/>
      <c r="N21" s="2"/>
      <c r="O21" s="2"/>
      <c r="P21" s="2"/>
      <c r="Q21" s="2"/>
      <c r="R21" s="2"/>
    </row>
    <row r="22" spans="1:19">
      <c r="F22" s="86"/>
      <c r="G22" s="100"/>
      <c r="H22" s="100"/>
      <c r="I22" s="74"/>
      <c r="J22" s="203"/>
      <c r="K22" s="7"/>
      <c r="M22" s="2"/>
      <c r="N22" s="2"/>
      <c r="O22" s="2"/>
      <c r="P22" s="2"/>
      <c r="Q22" s="2"/>
      <c r="R22" s="2"/>
    </row>
    <row r="23" spans="1:19">
      <c r="H23" s="100"/>
      <c r="I23" s="74"/>
      <c r="J23" s="203"/>
      <c r="K23" s="7"/>
      <c r="M23" s="2"/>
      <c r="N23" s="2"/>
      <c r="O23" s="2"/>
    </row>
    <row r="24" spans="1:19">
      <c r="A24" s="101" t="s">
        <v>100</v>
      </c>
      <c r="B24" s="13" t="s">
        <v>4</v>
      </c>
      <c r="C24" s="10" t="s">
        <v>5</v>
      </c>
      <c r="D24" s="51"/>
      <c r="E24" s="10" t="s">
        <v>6</v>
      </c>
      <c r="F24" s="10" t="s">
        <v>7</v>
      </c>
      <c r="H24" s="100"/>
      <c r="I24" s="101" t="s">
        <v>100</v>
      </c>
      <c r="J24" s="13" t="s">
        <v>4</v>
      </c>
      <c r="K24" s="10" t="s">
        <v>5</v>
      </c>
      <c r="L24" s="51"/>
      <c r="M24" s="10" t="s">
        <v>6</v>
      </c>
      <c r="N24" s="10" t="s">
        <v>7</v>
      </c>
      <c r="O24" s="2"/>
      <c r="P24" s="2"/>
      <c r="Q24" s="2"/>
      <c r="R24" s="2"/>
      <c r="S24" s="2"/>
    </row>
    <row r="25" spans="1:19">
      <c r="A25" s="49" t="s">
        <v>176</v>
      </c>
      <c r="B25" s="49" t="s">
        <v>127</v>
      </c>
      <c r="C25" s="74">
        <f>E9+E11</f>
        <v>10.053024000000001</v>
      </c>
      <c r="D25" s="49" t="s">
        <v>17</v>
      </c>
      <c r="E25" s="195">
        <f>'Ceny składowe'!C6</f>
        <v>4.3</v>
      </c>
      <c r="F25" s="195">
        <f>E25*C25</f>
        <v>43.228003200000003</v>
      </c>
      <c r="H25" s="100"/>
      <c r="I25" s="49" t="str">
        <f>VLOOKUP(1,H7:I20,2,FALSE)</f>
        <v>SPIRO500P60</v>
      </c>
      <c r="J25" s="49" t="s">
        <v>358</v>
      </c>
      <c r="K25" s="40">
        <f>C7/3000</f>
        <v>0.4</v>
      </c>
      <c r="L25" s="49" t="s">
        <v>27</v>
      </c>
      <c r="M25" s="195">
        <f>VLOOKUP(1,H7:L19,5,FALSE)</f>
        <v>119.0945526520007</v>
      </c>
      <c r="N25" s="195">
        <f>K25*M25</f>
        <v>47.637821060800285</v>
      </c>
      <c r="O25" s="2"/>
      <c r="P25" s="2"/>
      <c r="Q25" s="2"/>
      <c r="R25" s="2"/>
      <c r="S25" s="2"/>
    </row>
    <row r="26" spans="1:19">
      <c r="A26" s="100" t="s">
        <v>246</v>
      </c>
      <c r="B26" t="s">
        <v>257</v>
      </c>
      <c r="C26" s="74">
        <f>E10</f>
        <v>2.5120000000000005</v>
      </c>
      <c r="D26" t="s">
        <v>17</v>
      </c>
      <c r="E26" s="195">
        <f>'Ceny składowe'!C7</f>
        <v>4.2</v>
      </c>
      <c r="F26" s="195">
        <f>C26*E26</f>
        <v>10.550400000000002</v>
      </c>
      <c r="I26" s="5" t="s">
        <v>176</v>
      </c>
      <c r="J26" s="49" t="s">
        <v>127</v>
      </c>
      <c r="K26" s="74">
        <f>C9</f>
        <v>0.16328000000000001</v>
      </c>
      <c r="L26" s="5" t="s">
        <v>17</v>
      </c>
      <c r="M26" s="195">
        <f>'Ceny składowe'!C6</f>
        <v>4.3</v>
      </c>
      <c r="N26" s="197">
        <f>K26*M26</f>
        <v>0.70210400000000006</v>
      </c>
      <c r="P26" s="2"/>
      <c r="Q26" s="2"/>
      <c r="R26" s="2"/>
      <c r="S26" s="2"/>
    </row>
    <row r="27" spans="1:19">
      <c r="A27" s="311" t="str">
        <f>VLOOKUP(1,A38:B40,2,FALSE)</f>
        <v>VENTILAM ALU 50MM</v>
      </c>
      <c r="B27" s="49" t="s">
        <v>63</v>
      </c>
      <c r="C27" s="74">
        <f>IF('Cennik Produkcja '!D66&gt;100,C13*2.7,IF('Cennik Produkcja '!D66&gt;50,C13*1.9,IF('Cennik Produkcja '!D66&lt;=50,C13)))</f>
        <v>1.8839999999999999</v>
      </c>
      <c r="D27" s="49" t="s">
        <v>19</v>
      </c>
      <c r="E27" s="292">
        <f>IF(A36=C38,E38,IF(A36=C39,E39))</f>
        <v>21.56</v>
      </c>
      <c r="F27" s="195">
        <f t="shared" ref="F27:F28" si="1">E27*C27</f>
        <v>40.619039999999998</v>
      </c>
      <c r="I27" s="100" t="s">
        <v>246</v>
      </c>
      <c r="J27" t="s">
        <v>257</v>
      </c>
      <c r="K27" s="74">
        <f>E10</f>
        <v>2.5120000000000005</v>
      </c>
      <c r="L27" t="s">
        <v>17</v>
      </c>
      <c r="M27" s="195">
        <f>'Ceny składowe'!C7</f>
        <v>4.2</v>
      </c>
      <c r="N27" s="195">
        <f>K27*M27</f>
        <v>10.550400000000002</v>
      </c>
      <c r="O27" s="2"/>
      <c r="P27" s="2"/>
      <c r="Q27" s="2"/>
      <c r="R27" s="2"/>
      <c r="S27" s="2"/>
    </row>
    <row r="28" spans="1:19">
      <c r="A28" s="318" t="str">
        <f>VLOOKUP(1,A44:B47,2,FALSE)</f>
        <v>BLACHAPERFOR RV 5-8/0,5 KRĄG 1250MM</v>
      </c>
      <c r="B28" s="49" t="s">
        <v>34</v>
      </c>
      <c r="C28" s="74">
        <f>C12</f>
        <v>1.54488</v>
      </c>
      <c r="D28" s="49" t="s">
        <v>19</v>
      </c>
      <c r="E28" s="321">
        <f>IF(A42=C44,E44,IF(A42=C45,E45,IF(A42=C46,E46)))</f>
        <v>28.5</v>
      </c>
      <c r="F28" s="195">
        <f t="shared" si="1"/>
        <v>44.02908</v>
      </c>
      <c r="I28" s="49" t="str">
        <f>A27</f>
        <v>VENTILAM ALU 50MM</v>
      </c>
      <c r="J28" s="49" t="s">
        <v>63</v>
      </c>
      <c r="K28" s="74">
        <f>C27</f>
        <v>1.8839999999999999</v>
      </c>
      <c r="L28" s="49" t="s">
        <v>19</v>
      </c>
      <c r="M28" s="195">
        <f>E27</f>
        <v>21.56</v>
      </c>
      <c r="N28" s="195">
        <f>M28*K28</f>
        <v>40.619039999999998</v>
      </c>
      <c r="O28" s="2"/>
      <c r="P28" s="2"/>
      <c r="Q28" s="2"/>
      <c r="R28" s="2"/>
      <c r="S28" s="2"/>
    </row>
    <row r="29" spans="1:19" ht="15" customHeight="1">
      <c r="A29" s="5" t="s">
        <v>623</v>
      </c>
      <c r="B29" s="49" t="s">
        <v>511</v>
      </c>
      <c r="C29" s="74">
        <f>C12+0.1</f>
        <v>1.6448800000000001</v>
      </c>
      <c r="D29" s="49" t="s">
        <v>19</v>
      </c>
      <c r="E29" s="195">
        <f>'Ceny składowe'!C70</f>
        <v>1.92</v>
      </c>
      <c r="F29" s="195">
        <f>C29*E29</f>
        <v>3.1581695999999999</v>
      </c>
      <c r="I29" s="5" t="str">
        <f>A28</f>
        <v>BLACHAPERFOR RV 5-8/0,5 KRĄG 1250MM</v>
      </c>
      <c r="J29" s="49" t="s">
        <v>34</v>
      </c>
      <c r="K29" s="74">
        <f>C28</f>
        <v>1.54488</v>
      </c>
      <c r="L29" s="49" t="s">
        <v>19</v>
      </c>
      <c r="M29" s="195">
        <f>E28</f>
        <v>28.5</v>
      </c>
      <c r="N29" s="195">
        <f>M29*K29</f>
        <v>44.02908</v>
      </c>
      <c r="O29" s="2"/>
    </row>
    <row r="30" spans="1:19" ht="15.75" customHeight="1">
      <c r="B30" s="49"/>
      <c r="I30" s="5" t="s">
        <v>623</v>
      </c>
      <c r="J30" s="49" t="s">
        <v>511</v>
      </c>
      <c r="K30" s="74">
        <f>C29</f>
        <v>1.6448800000000001</v>
      </c>
      <c r="L30" s="5" t="s">
        <v>19</v>
      </c>
      <c r="M30" s="195">
        <f>'Ceny składowe'!C70</f>
        <v>1.92</v>
      </c>
      <c r="N30" s="197">
        <f>K30*M30</f>
        <v>3.1581695999999999</v>
      </c>
      <c r="O30" s="2"/>
    </row>
    <row r="31" spans="1:19">
      <c r="B31" s="49"/>
      <c r="E31" s="73" t="s">
        <v>265</v>
      </c>
      <c r="F31" s="195">
        <f>SUM(F25:F29)*1.05</f>
        <v>148.66392744000001</v>
      </c>
      <c r="I31" s="100"/>
      <c r="J31" s="49"/>
      <c r="O31" s="2"/>
    </row>
    <row r="32" spans="1:19">
      <c r="E32" s="73" t="s">
        <v>320</v>
      </c>
      <c r="F32" s="198">
        <f>F31 * INDEX($H$41:$J$50,
  IFERROR(MATCH(C6-0.001, $G$41:$G$50, 1)+1, 1),
  IFERROR(MATCH(C7-0.001, $H$40:$J$40, 1)+1, 1))</f>
        <v>475.72456780800007</v>
      </c>
      <c r="M32" s="73" t="s">
        <v>265</v>
      </c>
      <c r="N32" s="195">
        <f>SUM(N25:N30)*1.05</f>
        <v>154.0314453938403</v>
      </c>
      <c r="O32" s="120"/>
    </row>
    <row r="33" spans="1:14">
      <c r="E33" s="73" t="s">
        <v>294</v>
      </c>
      <c r="F33" s="234">
        <f>(F32-M37)/M37</f>
        <v>0.87541276605253548</v>
      </c>
      <c r="M33" s="73" t="s">
        <v>320</v>
      </c>
      <c r="N33" s="198">
        <f>F32</f>
        <v>475.72456780800007</v>
      </c>
    </row>
    <row r="34" spans="1:14">
      <c r="M34" s="73" t="s">
        <v>294</v>
      </c>
      <c r="N34" s="234">
        <f>(N33-M38)/M38</f>
        <v>0.83655141592825599</v>
      </c>
    </row>
    <row r="35" spans="1:14">
      <c r="A35" s="291">
        <f>'Cennik Produkcja '!D66</f>
        <v>50</v>
      </c>
    </row>
    <row r="36" spans="1:14">
      <c r="A36" s="291">
        <f>IF(A35=40,40,IF(A35=80,40,IF(A35=120,40,IF(A35=50,50,IF(A35=100,50,IF(A35=150,50))))))</f>
        <v>50</v>
      </c>
      <c r="I36" s="236" t="s">
        <v>411</v>
      </c>
      <c r="J36" s="251">
        <f>IF(AND(C6&lt;=315,C7&lt;=500),30,IF(AND(C6&gt;=400,C7&gt;1000),150,IF(AND(C6&lt;=315,C7&gt;500),35,IF(AND(C6&lt;=500,C6&gt;315,C7&lt;=500),40,IF(AND(C6&lt;=500,C6&gt;315,C7&gt;500),47,IF(AND(C6&gt;500,C7&lt;=500),50,IF(AND(C6&gt;=500,C7&gt;500),60)))))))</f>
        <v>150</v>
      </c>
      <c r="K36" s="237" t="s">
        <v>412</v>
      </c>
      <c r="L36" s="239">
        <f>'Ceny składowe'!C94</f>
        <v>0.7</v>
      </c>
      <c r="M36" s="238">
        <f>J36*L36</f>
        <v>105</v>
      </c>
    </row>
    <row r="37" spans="1:14">
      <c r="A37"/>
      <c r="I37" s="159"/>
      <c r="J37" s="74"/>
      <c r="K37" s="237" t="s">
        <v>418</v>
      </c>
      <c r="L37" s="237" t="s">
        <v>419</v>
      </c>
      <c r="M37" s="240">
        <f>F31+M36</f>
        <v>253.66392744000001</v>
      </c>
    </row>
    <row r="38" spans="1:14">
      <c r="A38" s="291">
        <f>IF($A36=C38,1,0)</f>
        <v>0</v>
      </c>
      <c r="B38" s="291" t="s">
        <v>761</v>
      </c>
      <c r="C38" s="291">
        <v>40</v>
      </c>
      <c r="D38" s="291"/>
      <c r="E38" s="292">
        <f>'Ceny składowe'!C51</f>
        <v>18.100000000000001</v>
      </c>
      <c r="K38" s="255" t="s">
        <v>421</v>
      </c>
      <c r="L38" s="256" t="s">
        <v>422</v>
      </c>
      <c r="M38" s="238">
        <f>M36+N32</f>
        <v>259.03144539384027</v>
      </c>
    </row>
    <row r="39" spans="1:14" ht="15" thickBot="1">
      <c r="A39" s="291">
        <f>IF($A36=C39,1,0)</f>
        <v>1</v>
      </c>
      <c r="B39" s="291" t="s">
        <v>622</v>
      </c>
      <c r="C39" s="291">
        <v>50</v>
      </c>
      <c r="D39" s="291"/>
      <c r="E39" s="292">
        <f>'Ceny składowe'!C52</f>
        <v>21.56</v>
      </c>
    </row>
    <row r="40" spans="1:14" ht="15" thickBot="1">
      <c r="G40" s="530" t="s">
        <v>917</v>
      </c>
      <c r="H40" s="532">
        <v>500</v>
      </c>
      <c r="I40" s="532">
        <v>1000</v>
      </c>
      <c r="J40" s="532">
        <v>1500</v>
      </c>
    </row>
    <row r="41" spans="1:14" ht="15" thickBot="1">
      <c r="A41" s="319">
        <f>'Cennik Produkcja '!E68</f>
        <v>1200</v>
      </c>
      <c r="G41" s="533">
        <v>100</v>
      </c>
      <c r="H41" s="529">
        <v>4.9000000000000004</v>
      </c>
      <c r="I41" s="529">
        <v>3.5</v>
      </c>
      <c r="J41" s="529">
        <v>3.6</v>
      </c>
    </row>
    <row r="42" spans="1:14" ht="15" thickBot="1">
      <c r="A42" s="319">
        <f>IF(MIN(3.1416*C6, C7)&lt;=1000, 1000,
 IF(MIN(3.1416*C6, C7)&lt;=1250, 1250, 1500))</f>
        <v>1250</v>
      </c>
      <c r="G42" s="533">
        <v>125</v>
      </c>
      <c r="H42" s="529">
        <v>4.8</v>
      </c>
      <c r="I42" s="529">
        <v>3.4</v>
      </c>
      <c r="J42" s="529">
        <v>3.5</v>
      </c>
    </row>
    <row r="43" spans="1:14" ht="15" thickBot="1">
      <c r="G43" s="533">
        <v>160</v>
      </c>
      <c r="H43" s="529">
        <v>4.5</v>
      </c>
      <c r="I43" s="529">
        <v>3.3</v>
      </c>
      <c r="J43" s="529">
        <v>3.4</v>
      </c>
    </row>
    <row r="44" spans="1:14" ht="15" thickBot="1">
      <c r="A44" s="319">
        <f>IF($A42=C44,1,0)</f>
        <v>0</v>
      </c>
      <c r="B44" s="320" t="s">
        <v>451</v>
      </c>
      <c r="C44" s="319">
        <v>1000</v>
      </c>
      <c r="D44" s="319"/>
      <c r="E44" s="321">
        <f>'Ceny składowe'!C64</f>
        <v>28.5</v>
      </c>
      <c r="G44" s="533">
        <v>200</v>
      </c>
      <c r="H44" s="529">
        <v>4.4000000000000004</v>
      </c>
      <c r="I44" s="529">
        <v>3.2</v>
      </c>
      <c r="J44" s="529">
        <v>3.3</v>
      </c>
    </row>
    <row r="45" spans="1:14" ht="15" thickBot="1">
      <c r="A45" s="319">
        <f>IF($A42=C45,1,0)</f>
        <v>1</v>
      </c>
      <c r="B45" s="320" t="s">
        <v>652</v>
      </c>
      <c r="C45" s="319">
        <v>1250</v>
      </c>
      <c r="D45" s="319"/>
      <c r="E45" s="321">
        <f>'Ceny składowe'!C65</f>
        <v>28.5</v>
      </c>
      <c r="G45" s="533">
        <v>250</v>
      </c>
      <c r="H45" s="529">
        <v>4.4000000000000004</v>
      </c>
      <c r="I45" s="529">
        <v>3.2</v>
      </c>
      <c r="J45" s="529">
        <v>3.3</v>
      </c>
    </row>
    <row r="46" spans="1:14" ht="15" thickBot="1">
      <c r="A46" s="319">
        <f>IF($A42=C46,1,0)</f>
        <v>0</v>
      </c>
      <c r="B46" s="318" t="s">
        <v>544</v>
      </c>
      <c r="C46" s="319">
        <v>1500</v>
      </c>
      <c r="D46" s="319"/>
      <c r="E46" s="321">
        <f>'Ceny składowe'!C66</f>
        <v>29</v>
      </c>
      <c r="G46" s="533">
        <v>315</v>
      </c>
      <c r="H46" s="529">
        <v>4.3</v>
      </c>
      <c r="I46" s="529">
        <v>3.1</v>
      </c>
      <c r="J46" s="529">
        <v>3.2</v>
      </c>
    </row>
    <row r="47" spans="1:14" ht="15" thickBot="1">
      <c r="G47" s="533">
        <v>400</v>
      </c>
      <c r="H47" s="529">
        <v>4.3</v>
      </c>
      <c r="I47" s="529">
        <v>3.1</v>
      </c>
      <c r="J47" s="529">
        <v>3.2</v>
      </c>
    </row>
    <row r="48" spans="1:14" ht="15" thickBot="1">
      <c r="G48" s="533">
        <v>500</v>
      </c>
      <c r="H48" s="529">
        <v>4.2</v>
      </c>
      <c r="I48" s="529">
        <v>3</v>
      </c>
      <c r="J48" s="529">
        <v>3.1</v>
      </c>
    </row>
    <row r="49" spans="2:10" ht="15" thickBot="1">
      <c r="G49" s="533">
        <v>630</v>
      </c>
      <c r="H49" s="529">
        <v>4.0999999999999996</v>
      </c>
      <c r="I49" s="529">
        <v>2.9</v>
      </c>
      <c r="J49" s="529">
        <v>3</v>
      </c>
    </row>
    <row r="50" spans="2:10" ht="15" thickBot="1">
      <c r="G50" s="533">
        <v>800</v>
      </c>
      <c r="H50" s="529">
        <v>4</v>
      </c>
      <c r="I50" s="529">
        <v>2.8</v>
      </c>
      <c r="J50" s="529">
        <v>2.9</v>
      </c>
    </row>
    <row r="52" spans="2:10">
      <c r="F52" s="1"/>
    </row>
    <row r="55" spans="2:10">
      <c r="G55" s="531"/>
    </row>
    <row r="56" spans="2:10">
      <c r="B56" s="73" t="s">
        <v>646</v>
      </c>
    </row>
    <row r="58" spans="2:10">
      <c r="B58" t="s">
        <v>662</v>
      </c>
      <c r="C58">
        <f>'Cennik Produkcja '!D437</f>
        <v>710</v>
      </c>
      <c r="D58" t="s">
        <v>27</v>
      </c>
    </row>
    <row r="59" spans="2:10">
      <c r="B59" t="s">
        <v>476</v>
      </c>
      <c r="C59">
        <f>'Cennik Produkcja '!E437</f>
        <v>870</v>
      </c>
      <c r="D59" t="s">
        <v>27</v>
      </c>
      <c r="F59" t="s">
        <v>684</v>
      </c>
    </row>
    <row r="60" spans="2:10">
      <c r="B60" t="s">
        <v>663</v>
      </c>
      <c r="C60">
        <f>'Cennik Produkcja '!D439</f>
        <v>1420</v>
      </c>
      <c r="D60" t="s">
        <v>27</v>
      </c>
      <c r="E60" t="s">
        <v>683</v>
      </c>
      <c r="F60">
        <f>IF(D61=30,0,IF(D61=40,0,IF(D61=70,20,IF(D61=80,0,IF(D61=100,0)))))</f>
        <v>0</v>
      </c>
    </row>
    <row r="61" spans="2:10">
      <c r="B61" t="s">
        <v>661</v>
      </c>
      <c r="C61" s="284">
        <f>(C59-C58)/2</f>
        <v>80</v>
      </c>
      <c r="D61" s="284">
        <f>FLOOR(C61,10)</f>
        <v>80</v>
      </c>
      <c r="E61">
        <f>IF(D61=30,40,IF(D61=40,40,IF(D61=70,50,IF(D61=80,40,IF(D61=100,50)))))</f>
        <v>40</v>
      </c>
    </row>
    <row r="62" spans="2:10">
      <c r="F62" t="s">
        <v>648</v>
      </c>
    </row>
    <row r="63" spans="2:10">
      <c r="B63" t="s">
        <v>647</v>
      </c>
      <c r="C63" s="86">
        <f>((C59*3.14)*(C60+60))/1000000</f>
        <v>4.0430640000000002</v>
      </c>
      <c r="D63" t="s">
        <v>19</v>
      </c>
      <c r="E63" s="84">
        <f>C63*4.8</f>
        <v>19.4067072</v>
      </c>
      <c r="F63" t="s">
        <v>649</v>
      </c>
      <c r="I63" s="585" t="s">
        <v>695</v>
      </c>
      <c r="J63" s="585"/>
    </row>
    <row r="64" spans="2:10">
      <c r="B64" t="s">
        <v>668</v>
      </c>
      <c r="C64" s="86">
        <f>((3.14*((C59+11)/2)^2)-(3.14*(C58/2)^2))*2/1000000</f>
        <v>0.42713577000000003</v>
      </c>
      <c r="D64" t="s">
        <v>19</v>
      </c>
      <c r="E64" s="84">
        <f>C64*6.4</f>
        <v>2.7336689280000002</v>
      </c>
      <c r="F64" t="s">
        <v>648</v>
      </c>
      <c r="I64" s="86">
        <f>E63+E65</f>
        <v>19.4067072</v>
      </c>
      <c r="J64" t="s">
        <v>667</v>
      </c>
    </row>
    <row r="65" spans="1:10">
      <c r="B65" t="s">
        <v>669</v>
      </c>
      <c r="C65" s="86">
        <f>IF(C75="NIE",((C58*3.14)*60)*2/1000000,IF(C75="TAK",((C58*3.14)*130)*2/1000000))</f>
        <v>0.26752799999999999</v>
      </c>
      <c r="D65" t="s">
        <v>19</v>
      </c>
      <c r="E65" s="84">
        <f>IF(C58&lt;700,C65*4.8,0)</f>
        <v>0</v>
      </c>
      <c r="F65" s="365">
        <f>C60</f>
        <v>1420</v>
      </c>
      <c r="I65" s="86">
        <f>E64+G66</f>
        <v>4.4458481279999997</v>
      </c>
      <c r="J65" t="s">
        <v>666</v>
      </c>
    </row>
    <row r="66" spans="1:10">
      <c r="B66" t="s">
        <v>91</v>
      </c>
      <c r="C66" s="86">
        <f>((C58*3.14)*C60/1000000)*1.2</f>
        <v>3.7988975999999997</v>
      </c>
      <c r="D66" t="s">
        <v>19</v>
      </c>
      <c r="E66" s="369">
        <f>C58*3.14</f>
        <v>2229.4</v>
      </c>
      <c r="G66" s="86">
        <f>IF(C58&gt;=700,C65*6.4,0)</f>
        <v>1.7121792</v>
      </c>
      <c r="H66" t="s">
        <v>666</v>
      </c>
    </row>
    <row r="67" spans="1:10">
      <c r="B67" t="s">
        <v>685</v>
      </c>
      <c r="C67" s="86">
        <f>IF(D61=30,(((C58+(2*E61))*3.14)*C60)/1000000,IF(D61=40,(((C58+(2*E61))*3.14)*C60)/1000000,IF(D61=70,(((C58+(2*E61))*3.14)*C60)/1000000,IF(D61=80,((((C58+(2*E61))*3.14)*C60)+(((C58+(2*D61))*3.14)*C60))/1000000,IF(D61=100,((((C58+(2*E61))*3.14)*C60)+(((C58+(2*D61))*3.14)*C60))/1000000)))))</f>
        <v>7.4016080000000004</v>
      </c>
      <c r="D67" t="s">
        <v>19</v>
      </c>
      <c r="F67" s="99"/>
      <c r="G67" t="s">
        <v>687</v>
      </c>
      <c r="H67" s="92"/>
      <c r="I67" s="100"/>
      <c r="J67" s="86"/>
    </row>
    <row r="68" spans="1:10">
      <c r="B68" t="s">
        <v>686</v>
      </c>
      <c r="C68" s="86">
        <f>IF(D61=30,0,IF(D61=40,0,IF(D61=70,(((C58+(2*D61))*3.14)*C60)/1000000,IF(D61=80,0,IF(D61=100,0)))))</f>
        <v>0</v>
      </c>
      <c r="D68" t="s">
        <v>19</v>
      </c>
      <c r="E68" s="99" t="s">
        <v>694</v>
      </c>
      <c r="F68" s="86">
        <f>C58^2</f>
        <v>504100</v>
      </c>
    </row>
    <row r="69" spans="1:10">
      <c r="B69" s="370" t="s">
        <v>664</v>
      </c>
      <c r="C69" s="371">
        <f>((((H70*J70)*2)+((I70*J70)*2))/1000000)*1.2</f>
        <v>2.5802966421990088</v>
      </c>
      <c r="D69" s="370" t="s">
        <v>19</v>
      </c>
      <c r="E69">
        <f>200^2</f>
        <v>40000</v>
      </c>
      <c r="F69" s="86"/>
      <c r="G69" s="99"/>
      <c r="H69" s="1" t="s">
        <v>691</v>
      </c>
      <c r="I69" s="1" t="s">
        <v>692</v>
      </c>
      <c r="J69" s="1" t="s">
        <v>693</v>
      </c>
    </row>
    <row r="70" spans="1:10">
      <c r="B70" t="s">
        <v>665</v>
      </c>
      <c r="C70" s="86">
        <f>((H70*J70)*2)/1000000</f>
        <v>1.6622472018325072</v>
      </c>
      <c r="D70" t="s">
        <v>19</v>
      </c>
      <c r="E70" s="52"/>
      <c r="F70" s="86" t="s">
        <v>666</v>
      </c>
      <c r="G70" s="74">
        <f>F68-E69</f>
        <v>464100</v>
      </c>
      <c r="H70" s="161">
        <f>SQRT(G70)</f>
        <v>681.24885321004399</v>
      </c>
      <c r="I70" s="54">
        <v>200</v>
      </c>
      <c r="J70" s="54">
        <f>C60-200</f>
        <v>1220</v>
      </c>
    </row>
    <row r="71" spans="1:10">
      <c r="B71" t="s">
        <v>670</v>
      </c>
      <c r="C71" s="86">
        <f>((((I70*314)/1.7)*H70)*2)/100000000</f>
        <v>0.503322682136362</v>
      </c>
      <c r="D71" t="s">
        <v>19</v>
      </c>
      <c r="E71" s="86">
        <f>C71*6.4</f>
        <v>3.2212651656727171</v>
      </c>
      <c r="F71" s="86" t="s">
        <v>667</v>
      </c>
    </row>
    <row r="72" spans="1:10">
      <c r="B72" t="s">
        <v>671</v>
      </c>
      <c r="C72" s="86">
        <f>(((I70+40)*H70)*2)/1000000</f>
        <v>0.32699944954082116</v>
      </c>
      <c r="D72" t="s">
        <v>19</v>
      </c>
      <c r="E72" s="86">
        <f>C72*4.8</f>
        <v>1.5695973577959415</v>
      </c>
      <c r="F72" s="86" t="s">
        <v>667</v>
      </c>
      <c r="I72" s="585" t="s">
        <v>696</v>
      </c>
      <c r="J72" s="585"/>
    </row>
    <row r="73" spans="1:10">
      <c r="B73" t="s">
        <v>672</v>
      </c>
      <c r="C73" s="86">
        <f>(((C60-2)*I70)*2)/1000000</f>
        <v>0.56720000000000004</v>
      </c>
      <c r="D73" t="s">
        <v>19</v>
      </c>
      <c r="E73" s="86">
        <f>C73*4.8</f>
        <v>2.7225600000000001</v>
      </c>
      <c r="F73" s="86"/>
      <c r="I73" s="86">
        <f>E72+E73</f>
        <v>4.2921573577959418</v>
      </c>
      <c r="J73" t="s">
        <v>667</v>
      </c>
    </row>
    <row r="74" spans="1:10">
      <c r="B74" t="s">
        <v>681</v>
      </c>
      <c r="C74" s="90">
        <f>'Cennik Produkcja '!D441*2</f>
        <v>24</v>
      </c>
      <c r="D74" s="141" t="str">
        <f>'Cennik Produkcja '!E441</f>
        <v>M10</v>
      </c>
      <c r="F74" s="86"/>
      <c r="I74" s="86">
        <f>E71</f>
        <v>3.2212651656727171</v>
      </c>
      <c r="J74" t="s">
        <v>666</v>
      </c>
    </row>
    <row r="75" spans="1:10">
      <c r="B75" t="s">
        <v>682</v>
      </c>
      <c r="C75" s="368" t="str">
        <f>'Cennik Produkcja '!E439</f>
        <v>NIE</v>
      </c>
      <c r="F75" s="86"/>
    </row>
    <row r="76" spans="1:10">
      <c r="F76" s="86"/>
    </row>
    <row r="77" spans="1:10">
      <c r="F77" s="86"/>
    </row>
    <row r="79" spans="1:10">
      <c r="F79" s="10" t="s">
        <v>7</v>
      </c>
    </row>
    <row r="80" spans="1:10">
      <c r="A80" s="101" t="s">
        <v>100</v>
      </c>
      <c r="B80" s="13" t="s">
        <v>4</v>
      </c>
      <c r="C80" s="10" t="s">
        <v>5</v>
      </c>
      <c r="D80" s="51"/>
      <c r="E80" s="10" t="s">
        <v>6</v>
      </c>
      <c r="F80" s="195">
        <f t="shared" ref="F80:F85" si="2">E81*C81</f>
        <v>83.448840959999998</v>
      </c>
    </row>
    <row r="81" spans="1:6">
      <c r="A81" s="49" t="s">
        <v>176</v>
      </c>
      <c r="B81" s="49" t="s">
        <v>127</v>
      </c>
      <c r="C81" s="316">
        <f>IF(C75="NIE",I64,IF(C75="TAK",I64+I73))</f>
        <v>19.4067072</v>
      </c>
      <c r="D81" s="49" t="s">
        <v>17</v>
      </c>
      <c r="E81" s="195">
        <f>'Ceny składowe'!C6</f>
        <v>4.3</v>
      </c>
      <c r="F81" s="195">
        <f t="shared" si="2"/>
        <v>18.6725621376</v>
      </c>
    </row>
    <row r="82" spans="1:6">
      <c r="A82" s="100" t="s">
        <v>246</v>
      </c>
      <c r="B82" s="114" t="s">
        <v>257</v>
      </c>
      <c r="C82" s="316">
        <f>IF(C75="NIE",I65,IF(C75="TAK",I65+I74))</f>
        <v>4.4458481279999997</v>
      </c>
      <c r="D82" s="49" t="s">
        <v>17</v>
      </c>
      <c r="E82" s="195">
        <f>'Ceny składowe'!C7</f>
        <v>4.2</v>
      </c>
      <c r="F82" s="195">
        <f t="shared" si="2"/>
        <v>1.1540000000000001E-3</v>
      </c>
    </row>
    <row r="83" spans="1:6">
      <c r="A83" s="311" t="s">
        <v>650</v>
      </c>
      <c r="B83" s="49" t="s">
        <v>63</v>
      </c>
      <c r="C83" s="316">
        <f>IF(F60=20,C68,0.0001)</f>
        <v>1E-4</v>
      </c>
      <c r="D83" s="49" t="s">
        <v>19</v>
      </c>
      <c r="E83" s="292">
        <f>'Ceny składowe'!C49</f>
        <v>11.54</v>
      </c>
      <c r="F83" s="195">
        <f t="shared" si="2"/>
        <v>133.96910480000003</v>
      </c>
    </row>
    <row r="84" spans="1:6">
      <c r="A84" s="365" t="s">
        <v>761</v>
      </c>
      <c r="B84" s="49" t="s">
        <v>63</v>
      </c>
      <c r="C84" s="316">
        <f>IF(E61=40,C67,0.0001)</f>
        <v>7.4016080000000004</v>
      </c>
      <c r="D84" s="49" t="s">
        <v>19</v>
      </c>
      <c r="E84" s="292">
        <f>'Ceny składowe'!C51</f>
        <v>18.100000000000001</v>
      </c>
      <c r="F84" s="195">
        <f t="shared" si="2"/>
        <v>2.1559999999999999E-3</v>
      </c>
    </row>
    <row r="85" spans="1:6">
      <c r="A85" s="365" t="s">
        <v>622</v>
      </c>
      <c r="B85" s="49" t="s">
        <v>63</v>
      </c>
      <c r="C85" s="316">
        <f>IF(E61=50,C67,0.0001)</f>
        <v>1E-4</v>
      </c>
      <c r="D85" s="49" t="s">
        <v>19</v>
      </c>
      <c r="E85" s="292">
        <f>'Ceny składowe'!C52</f>
        <v>21.56</v>
      </c>
      <c r="F85" s="195">
        <f t="shared" si="2"/>
        <v>108.26858159999999</v>
      </c>
    </row>
    <row r="86" spans="1:6">
      <c r="A86" s="376" t="s">
        <v>451</v>
      </c>
      <c r="B86" s="49" t="s">
        <v>34</v>
      </c>
      <c r="C86" s="316">
        <f>IF(C75="TAK",C66+C69,IF(C75="NIE",C66))</f>
        <v>3.7988975999999997</v>
      </c>
      <c r="D86" s="49" t="s">
        <v>19</v>
      </c>
      <c r="E86" s="377">
        <f>'Ceny składowe'!C64</f>
        <v>28.5</v>
      </c>
      <c r="F86" s="195">
        <f>C87*E87</f>
        <v>1.9000000000000001E-5</v>
      </c>
    </row>
    <row r="87" spans="1:6">
      <c r="A87" s="366" t="s">
        <v>199</v>
      </c>
      <c r="B87" s="49" t="s">
        <v>679</v>
      </c>
      <c r="C87" s="374">
        <f>IF(D74="M8",C74,0.0001)</f>
        <v>1E-4</v>
      </c>
      <c r="D87" s="5" t="s">
        <v>64</v>
      </c>
      <c r="E87" s="367">
        <f>'Ceny składowe'!C26</f>
        <v>0.19</v>
      </c>
      <c r="F87" s="195">
        <f>C88*E88</f>
        <v>7.1999999999999993</v>
      </c>
    </row>
    <row r="88" spans="1:6">
      <c r="A88" s="366" t="s">
        <v>673</v>
      </c>
      <c r="B88" s="49" t="s">
        <v>680</v>
      </c>
      <c r="C88" s="374">
        <f>IF(D74="M10",C74,0.0001)</f>
        <v>24</v>
      </c>
      <c r="D88" s="49" t="s">
        <v>64</v>
      </c>
      <c r="E88" s="367">
        <f>'Ceny składowe'!C27</f>
        <v>0.3</v>
      </c>
      <c r="F88" s="195">
        <f>C89*E89</f>
        <v>6.2145561599999999</v>
      </c>
    </row>
    <row r="89" spans="1:6">
      <c r="A89" s="5" t="s">
        <v>623</v>
      </c>
      <c r="B89" s="49" t="s">
        <v>511</v>
      </c>
      <c r="C89" s="316">
        <f>(((C58*3.14)+50)*C60)/1000000</f>
        <v>3.236748</v>
      </c>
      <c r="D89" s="49" t="s">
        <v>19</v>
      </c>
      <c r="E89" s="195">
        <f>'Ceny składowe'!C70</f>
        <v>1.92</v>
      </c>
      <c r="F89" s="195">
        <f>E90*C90</f>
        <v>0</v>
      </c>
    </row>
    <row r="90" spans="1:6">
      <c r="A90" s="49" t="s">
        <v>453</v>
      </c>
      <c r="B90" s="49" t="s">
        <v>677</v>
      </c>
      <c r="C90" s="316">
        <f>IF(C75="TAK",C70,IF(C75="NIE",0))</f>
        <v>0</v>
      </c>
      <c r="D90" s="49" t="s">
        <v>19</v>
      </c>
      <c r="E90" s="195">
        <f>'Ceny składowe'!C62</f>
        <v>45.8</v>
      </c>
      <c r="F90" s="195">
        <f>E91*C91</f>
        <v>4.51866931083</v>
      </c>
    </row>
    <row r="91" spans="1:6">
      <c r="A91" s="49" t="s">
        <v>555</v>
      </c>
      <c r="B91" s="49" t="s">
        <v>592</v>
      </c>
      <c r="C91" s="316">
        <f>((C64/10)*(C60/100))/2</f>
        <v>0.3032663967</v>
      </c>
      <c r="D91" s="49" t="s">
        <v>64</v>
      </c>
      <c r="E91" s="195">
        <f>'Ceny składowe'!C71</f>
        <v>14.9</v>
      </c>
      <c r="F91" s="195">
        <f>E92*C92</f>
        <v>0.67799999999999994</v>
      </c>
    </row>
    <row r="92" spans="1:6">
      <c r="A92" s="49" t="s">
        <v>490</v>
      </c>
      <c r="B92" s="49" t="s">
        <v>690</v>
      </c>
      <c r="C92" s="144">
        <v>0.02</v>
      </c>
      <c r="D92" s="49" t="s">
        <v>64</v>
      </c>
      <c r="E92" s="195">
        <f>'Ceny składowe'!C68</f>
        <v>33.9</v>
      </c>
      <c r="F92" s="195">
        <f>E93*C93</f>
        <v>9.0999999999999998E-2</v>
      </c>
    </row>
    <row r="93" spans="1:6">
      <c r="A93" s="49" t="s">
        <v>675</v>
      </c>
      <c r="B93" s="49" t="s">
        <v>678</v>
      </c>
      <c r="C93" s="144">
        <f>IF(C75="TAK",0.02,0.01)</f>
        <v>0.01</v>
      </c>
      <c r="D93" s="49" t="s">
        <v>64</v>
      </c>
      <c r="E93" s="195">
        <f>'Ceny składowe'!C78</f>
        <v>9.1</v>
      </c>
      <c r="F93" s="373">
        <f>E94*C94</f>
        <v>3.2802000000000002</v>
      </c>
    </row>
    <row r="94" spans="1:6">
      <c r="A94" s="372" t="s">
        <v>689</v>
      </c>
      <c r="B94" s="372" t="s">
        <v>688</v>
      </c>
      <c r="C94" s="375">
        <f>(C60*1/1000)*1.1</f>
        <v>1.5620000000000001</v>
      </c>
      <c r="D94" s="372" t="s">
        <v>450</v>
      </c>
      <c r="E94" s="373">
        <f>'Ceny składowe'!C79</f>
        <v>2.1</v>
      </c>
      <c r="F94" s="1"/>
    </row>
    <row r="95" spans="1:6">
      <c r="B95" s="49"/>
      <c r="F95" s="195">
        <f>SUM(F80:F93)</f>
        <v>366.34484396842998</v>
      </c>
    </row>
    <row r="96" spans="1:6">
      <c r="E96" s="73" t="s">
        <v>43</v>
      </c>
      <c r="F96" s="195">
        <f>F95+E103</f>
        <v>446.84484396842998</v>
      </c>
    </row>
    <row r="97" spans="1:7">
      <c r="E97" s="73" t="s">
        <v>700</v>
      </c>
      <c r="F97" s="198">
        <f>(F95+E103)*(1+1.6)</f>
        <v>1161.7965943179181</v>
      </c>
      <c r="G97" s="196"/>
    </row>
    <row r="98" spans="1:7">
      <c r="E98" s="73" t="s">
        <v>320</v>
      </c>
      <c r="F98" s="234">
        <f>(F97-F96)/F96</f>
        <v>1.6000000000000003</v>
      </c>
      <c r="G98" s="196"/>
    </row>
    <row r="99" spans="1:7">
      <c r="E99" s="73" t="s">
        <v>294</v>
      </c>
    </row>
    <row r="100" spans="1:7">
      <c r="A100"/>
    </row>
    <row r="101" spans="1:7">
      <c r="A101" s="236" t="s">
        <v>698</v>
      </c>
      <c r="B101" s="251">
        <f>IF(AND(C58&lt;=315,C60&lt;=315,D61=70),60,IF(AND(C58=315,C60=630,D61=40),65,IF(AND(C58=315,C60=470,D61=70),65,IF(AND(C58=315,C60=630,D61=70),71,IF(AND(C58=355,C60=355,D61=70),71,IF(AND(C58=355,C60=525,D61=70),76,IF(AND(C58=355,C60=700,D61=70),79,IF(AND(C58=355,C60=710,D61=40),71,IF(AND(C58=400,C60=400,D61=70),80,IF(AND(C58=400,C60=600,D61=70),82,IF(AND(C58=400,C60=800,D61=70),83,IF(AND(C58=410,C60=800,D61=30),79,IF(AND(C58=450,C60=450,D61=80),71,IF(AND(C58=450,C60=675,D61=80),79,IF(AND(C58=450,C60=900,D61=80),82,IF(AND(C58=500,C60=500,D61=80),79,IF(AND(C58=500,C60=1000,D61=80),86,IF(AND(C58=500,C60=750,D61=80),86,IF(AND(C58=560,C60=560,D61=80),86,IF(AND(C58=560,C60=840,D61=80),86,IF(AND(C58=560,C60=1120,D61=80),93,IF(AND(C58=630,C60=1260,D61=80),100,IF(AND(C58=630,C60=630,D61=80),93,IF(AND(C58=630,C60=945,D61=80),93,IF(AND(C58=710,C60=1065,D61=80),107,IF(AND(C58=710,C60=1420,D61=80),115,IF(AND(C58=710,C60=710,D61=80),100,IF(AND(C58=800,C60=1200,D61=100),143,IF(AND(C58=800,C60=800,D61=100),115)))))))))))))))))))))))))))))</f>
        <v>115</v>
      </c>
      <c r="C101" s="237" t="s">
        <v>412</v>
      </c>
      <c r="D101" s="239">
        <f>'Ceny składowe'!C94</f>
        <v>0.7</v>
      </c>
      <c r="E101" s="238">
        <f>B101*D101</f>
        <v>80.5</v>
      </c>
    </row>
    <row r="102" spans="1:7">
      <c r="A102" s="236" t="s">
        <v>699</v>
      </c>
      <c r="B102" s="251">
        <f>IF(AND(C58&lt;=315,C60&lt;=470,D61=70),15,IF(AND(C58&lt;=315,C60=630,D61=70),22,IF(AND(C58=355,C60=355,D61=70),15,IF(AND(C58=355,C60=525,D61=70),25,IF(AND(C58=355,C60=700,D61=70),29,IF(AND(C58=400,C60=400,D61=70),22,IF(AND(C58=400,C60=600,D61=70),29,IF(AND(C58=400,C60=800,D61=70),29,IF(AND(C58=450,C60=450,D61=80),29,IF(AND(C58=450,C60=675,D61=80),36,IF(AND(C58=450,C60=900,D61=80),36,IF(AND(C58=500,C60=500,D61=80),36,IF(AND(C58=500,C60=750,D61=80),36,IF(AND(C58=500,C60=1000,D61=80),43,IF(AND(C58=560,C60=560,D61=80),36,IF(AND(C58=560,C60=840,D61=80),43,IF(AND(C58=560,C60=1120,D61=80),50,IF(AND(C58=630,C60=1260,D61=80),72,IF(AND(C58=630,C60=630,D61=80),57,IF(AND(C58=630,C60=945,D61=80),72,IF(AND(C58=710,C60=1065,D61=80),86,IF(AND(C58=710,C60=1420,D61=80),86,IF(AND(C58=710,C60=710,D61=80),43,IF(AND(C58=800,C60=1200,D61=100),86,IF(AND(C58=800,C60=800,D61=100),72)))))))))))))))))))))))))</f>
        <v>86</v>
      </c>
      <c r="C102" s="237"/>
      <c r="D102" s="239">
        <f>'Ceny składowe'!C94</f>
        <v>0.7</v>
      </c>
      <c r="E102" s="238">
        <f>IF(C75="TAK",B102*D102,IF(C75="NIE",0))</f>
        <v>0</v>
      </c>
    </row>
    <row r="103" spans="1:7">
      <c r="A103" s="159"/>
      <c r="B103" s="74"/>
      <c r="C103" s="237" t="s">
        <v>418</v>
      </c>
      <c r="D103" s="237" t="s">
        <v>419</v>
      </c>
      <c r="E103" s="240">
        <f>E101+E102</f>
        <v>80.5</v>
      </c>
    </row>
    <row r="104" spans="1:7">
      <c r="A104"/>
      <c r="C104" s="255"/>
      <c r="D104" s="256"/>
      <c r="E104" s="238"/>
    </row>
    <row r="105" spans="1:7">
      <c r="A105"/>
    </row>
    <row r="106" spans="1:7">
      <c r="A106"/>
    </row>
    <row r="107" spans="1:7">
      <c r="A107"/>
    </row>
    <row r="108" spans="1:7">
      <c r="A108"/>
    </row>
    <row r="109" spans="1:7">
      <c r="A109"/>
    </row>
    <row r="110" spans="1:7">
      <c r="A110"/>
    </row>
    <row r="111" spans="1:7">
      <c r="A111"/>
    </row>
    <row r="112" spans="1:7">
      <c r="A112"/>
    </row>
    <row r="113" spans="1:1">
      <c r="A113"/>
    </row>
    <row r="114" spans="1:1">
      <c r="A114"/>
    </row>
  </sheetData>
  <mergeCells count="2">
    <mergeCell ref="I63:J63"/>
    <mergeCell ref="I72:J72"/>
  </mergeCells>
  <pageMargins left="0.7" right="0.7" top="0.75" bottom="0.75" header="0.3" footer="0.3"/>
  <pageSetup paperSize="9" orientation="portrait" r:id="rId1"/>
  <ignoredErrors>
    <ignoredError sqref="E64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8656-7D1D-4C89-AF05-70B733D6C7DA}">
  <dimension ref="B1:AD62"/>
  <sheetViews>
    <sheetView workbookViewId="0">
      <selection activeCell="Y4" sqref="Y4"/>
    </sheetView>
  </sheetViews>
  <sheetFormatPr defaultRowHeight="14.4"/>
  <cols>
    <col min="5" max="5" width="11.109375" customWidth="1"/>
    <col min="6" max="6" width="12.44140625" customWidth="1"/>
    <col min="7" max="7" width="25.6640625" customWidth="1"/>
    <col min="8" max="8" width="13.33203125" customWidth="1"/>
    <col min="10" max="11" width="10.5546875" style="204" customWidth="1"/>
    <col min="12" max="12" width="13.88671875" style="205" customWidth="1"/>
    <col min="13" max="13" width="14.6640625" style="206" customWidth="1"/>
    <col min="14" max="14" width="9.109375" style="206"/>
    <col min="15" max="15" width="11.88671875" style="206" customWidth="1"/>
    <col min="16" max="16" width="15.5546875" style="206" customWidth="1"/>
    <col min="17" max="17" width="11.88671875" style="206" customWidth="1"/>
    <col min="18" max="18" width="18.33203125" style="206" customWidth="1"/>
    <col min="19" max="20" width="11.109375" style="206" customWidth="1"/>
    <col min="21" max="21" width="12.44140625" style="206" customWidth="1"/>
    <col min="22" max="22" width="11.109375" style="206" customWidth="1"/>
    <col min="23" max="23" width="15.109375" style="206" customWidth="1"/>
    <col min="24" max="24" width="12.109375" style="206" bestFit="1" customWidth="1"/>
    <col min="25" max="25" width="21.5546875" style="206" customWidth="1"/>
    <col min="26" max="26" width="9.109375" style="206"/>
    <col min="27" max="27" width="9.109375" style="205"/>
    <col min="28" max="28" width="8.88671875" style="205"/>
    <col min="29" max="29" width="9.109375" style="207"/>
    <col min="30" max="30" width="12.33203125" bestFit="1" customWidth="1"/>
  </cols>
  <sheetData>
    <row r="1" spans="2:30" ht="17.25" customHeight="1"/>
    <row r="2" spans="2:30" ht="28.5" customHeight="1">
      <c r="B2" s="207"/>
      <c r="C2" s="207"/>
      <c r="D2" s="206" t="s">
        <v>359</v>
      </c>
      <c r="E2" s="206" t="s">
        <v>360</v>
      </c>
      <c r="F2" s="206"/>
    </row>
    <row r="3" spans="2:30" ht="63" customHeight="1">
      <c r="B3" s="206"/>
      <c r="C3" s="206"/>
      <c r="D3" s="208">
        <v>0.4</v>
      </c>
      <c r="E3" s="208">
        <v>4.7</v>
      </c>
      <c r="F3" s="208"/>
      <c r="G3" s="209" t="s">
        <v>361</v>
      </c>
      <c r="H3" s="209" t="s">
        <v>362</v>
      </c>
      <c r="I3" s="209" t="s">
        <v>363</v>
      </c>
      <c r="J3" s="209" t="s">
        <v>364</v>
      </c>
      <c r="K3" s="206"/>
      <c r="L3" s="209" t="s">
        <v>755</v>
      </c>
      <c r="M3" s="209" t="s">
        <v>365</v>
      </c>
      <c r="N3" s="209"/>
      <c r="O3" s="209" t="s">
        <v>366</v>
      </c>
    </row>
    <row r="4" spans="2:30" ht="16.5" customHeight="1">
      <c r="D4" s="210">
        <v>0.45</v>
      </c>
      <c r="E4" s="211">
        <v>4.4000000000000004</v>
      </c>
      <c r="F4" s="208"/>
      <c r="G4" s="209" t="s">
        <v>367</v>
      </c>
      <c r="H4" s="209">
        <v>99050.19</v>
      </c>
      <c r="I4" s="209">
        <v>251</v>
      </c>
      <c r="J4" s="212">
        <f>H4/I4</f>
        <v>394.62227091633468</v>
      </c>
      <c r="K4" s="206"/>
      <c r="L4" s="212">
        <v>100</v>
      </c>
      <c r="M4" s="209">
        <v>0</v>
      </c>
      <c r="N4" s="209"/>
      <c r="O4" s="209" t="s">
        <v>368</v>
      </c>
    </row>
    <row r="5" spans="2:30" ht="17.25" customHeight="1">
      <c r="B5" s="206"/>
      <c r="C5" s="206"/>
      <c r="D5" s="210">
        <v>0.5</v>
      </c>
      <c r="E5" s="211">
        <v>4.5</v>
      </c>
      <c r="F5" s="211"/>
      <c r="G5" s="209" t="s">
        <v>754</v>
      </c>
      <c r="H5" s="213">
        <v>27564</v>
      </c>
      <c r="I5" s="213">
        <v>251</v>
      </c>
      <c r="J5" s="212">
        <f>H5/I5</f>
        <v>109.81673306772909</v>
      </c>
      <c r="K5" s="206"/>
      <c r="L5" s="209"/>
      <c r="M5" s="209"/>
      <c r="N5" s="209"/>
      <c r="O5" s="209"/>
    </row>
    <row r="6" spans="2:30">
      <c r="D6" s="210">
        <v>0.6</v>
      </c>
      <c r="E6" s="211">
        <v>4.4000000000000004</v>
      </c>
      <c r="F6" s="210"/>
      <c r="G6" s="209"/>
      <c r="H6" s="209"/>
      <c r="I6" s="209"/>
      <c r="J6" s="209"/>
      <c r="K6" s="206"/>
      <c r="L6" s="209"/>
      <c r="M6" s="209"/>
      <c r="N6" s="209"/>
      <c r="O6" s="209"/>
    </row>
    <row r="7" spans="2:30">
      <c r="D7" s="210">
        <v>0.7</v>
      </c>
      <c r="E7" s="211">
        <v>5</v>
      </c>
      <c r="F7" s="210"/>
      <c r="H7" s="214"/>
      <c r="I7" s="206"/>
    </row>
    <row r="8" spans="2:30">
      <c r="D8" s="214"/>
      <c r="F8" s="214"/>
      <c r="G8" s="206"/>
      <c r="H8" s="214"/>
    </row>
    <row r="9" spans="2:30" ht="15.6">
      <c r="D9" t="s">
        <v>369</v>
      </c>
      <c r="E9" t="s">
        <v>370</v>
      </c>
      <c r="F9" s="215" t="s">
        <v>371</v>
      </c>
      <c r="Y9" s="575"/>
      <c r="Z9" s="619"/>
      <c r="AA9" s="619"/>
      <c r="AB9" s="619"/>
      <c r="AC9" s="619"/>
    </row>
    <row r="10" spans="2:30" s="1" customFormat="1" ht="100.8">
      <c r="B10" s="216" t="s">
        <v>372</v>
      </c>
      <c r="C10" s="216" t="s">
        <v>373</v>
      </c>
      <c r="D10" s="216" t="s">
        <v>374</v>
      </c>
      <c r="E10" s="216" t="s">
        <v>375</v>
      </c>
      <c r="F10" s="216" t="s">
        <v>376</v>
      </c>
      <c r="G10" s="216" t="s">
        <v>377</v>
      </c>
      <c r="H10" s="216" t="s">
        <v>378</v>
      </c>
      <c r="I10" s="216" t="s">
        <v>379</v>
      </c>
      <c r="J10" s="209" t="s">
        <v>380</v>
      </c>
      <c r="K10" s="209" t="s">
        <v>381</v>
      </c>
      <c r="L10" s="216" t="s">
        <v>382</v>
      </c>
      <c r="M10" s="209" t="s">
        <v>383</v>
      </c>
      <c r="N10" s="209" t="s">
        <v>384</v>
      </c>
      <c r="O10" s="209" t="s">
        <v>385</v>
      </c>
      <c r="P10" s="209" t="s">
        <v>386</v>
      </c>
      <c r="Q10" s="209" t="s">
        <v>387</v>
      </c>
      <c r="R10" s="209" t="s">
        <v>388</v>
      </c>
      <c r="S10" s="209" t="s">
        <v>389</v>
      </c>
      <c r="T10" s="209" t="s">
        <v>390</v>
      </c>
      <c r="U10" s="217" t="s">
        <v>390</v>
      </c>
      <c r="V10" s="218" t="s">
        <v>391</v>
      </c>
      <c r="W10" s="218" t="s">
        <v>392</v>
      </c>
      <c r="X10" s="206"/>
      <c r="Y10" s="576"/>
      <c r="Z10" s="577"/>
      <c r="AA10" s="577"/>
      <c r="AB10" s="577"/>
      <c r="AC10" s="577"/>
    </row>
    <row r="11" spans="2:30" ht="15.6">
      <c r="B11" s="219">
        <v>80</v>
      </c>
      <c r="C11" s="220">
        <v>0.4</v>
      </c>
      <c r="D11" s="221">
        <v>0.4</v>
      </c>
      <c r="E11" s="222">
        <v>3.4249999999999998</v>
      </c>
      <c r="F11" s="223">
        <f>(B11/1000)*3.14*3.425</f>
        <v>0.86036000000000012</v>
      </c>
      <c r="G11" s="220">
        <f>8*D11</f>
        <v>3.2</v>
      </c>
      <c r="H11" s="224">
        <f t="shared" ref="H11:H16" si="0">G11*F11+0.01</f>
        <v>2.7631520000000003</v>
      </c>
      <c r="I11" s="225">
        <f>VLOOKUP(D11,$D$3:$E$7,2,0)</f>
        <v>4.7</v>
      </c>
      <c r="J11" s="226">
        <f>I11*H11</f>
        <v>12.986814400000002</v>
      </c>
      <c r="K11" s="227">
        <v>250</v>
      </c>
      <c r="L11" s="228">
        <f t="shared" ref="L11:L30" si="1">$J$4</f>
        <v>394.62227091633468</v>
      </c>
      <c r="M11" s="226">
        <f>J5</f>
        <v>109.81673306772909</v>
      </c>
      <c r="N11" s="226"/>
      <c r="O11" s="226">
        <f>$M$4/K11</f>
        <v>0</v>
      </c>
      <c r="P11" s="226">
        <f t="shared" ref="P11:P30" si="2">$L$4/K11</f>
        <v>0.4</v>
      </c>
      <c r="Q11" s="226"/>
      <c r="R11" s="226">
        <f>((L11+M11)/K11)+N11+O11+P11+Q11</f>
        <v>2.4177560159362552</v>
      </c>
      <c r="S11" s="226">
        <f t="shared" ref="S11:S30" si="3">R11+J11</f>
        <v>15.404570415936258</v>
      </c>
      <c r="T11" s="229">
        <f>(V11-S11)/V11</f>
        <v>0.32731133554863501</v>
      </c>
      <c r="U11" s="226">
        <f>V11-S11</f>
        <v>7.495429584063741</v>
      </c>
      <c r="V11" s="230">
        <v>22.9</v>
      </c>
      <c r="W11" s="231">
        <v>22.9</v>
      </c>
      <c r="Y11" s="551"/>
      <c r="Z11" s="578"/>
      <c r="AA11" s="579"/>
      <c r="AB11" s="579"/>
      <c r="AC11" s="579"/>
    </row>
    <row r="12" spans="2:30" ht="15.6">
      <c r="B12" s="219">
        <v>100</v>
      </c>
      <c r="C12" s="220">
        <v>0.4</v>
      </c>
      <c r="D12" s="221">
        <v>0.4</v>
      </c>
      <c r="E12" s="222">
        <v>3.4249999999999998</v>
      </c>
      <c r="F12" s="223">
        <f t="shared" ref="F12:F30" si="4">(B12/1000)*3.14*3.425</f>
        <v>1.0754500000000002</v>
      </c>
      <c r="G12" s="220">
        <f t="shared" ref="G12:G30" si="5">8*D12</f>
        <v>3.2</v>
      </c>
      <c r="H12" s="224">
        <f t="shared" si="0"/>
        <v>3.4514400000000007</v>
      </c>
      <c r="I12" s="225">
        <f t="shared" ref="I12:I30" si="6">VLOOKUP(D12,$D$3:$E$7,2,0)</f>
        <v>4.7</v>
      </c>
      <c r="J12" s="226">
        <f t="shared" ref="J12:J30" si="7">I12*H12</f>
        <v>16.221768000000004</v>
      </c>
      <c r="K12" s="227">
        <v>250</v>
      </c>
      <c r="L12" s="228">
        <f t="shared" si="1"/>
        <v>394.62227091633468</v>
      </c>
      <c r="M12" s="226">
        <f>J5</f>
        <v>109.81673306772909</v>
      </c>
      <c r="N12" s="226"/>
      <c r="O12" s="226">
        <f t="shared" ref="O12:O30" si="8">$M$4/K12</f>
        <v>0</v>
      </c>
      <c r="P12" s="226">
        <f t="shared" si="2"/>
        <v>0.4</v>
      </c>
      <c r="Q12" s="226"/>
      <c r="R12" s="226">
        <f t="shared" ref="R12:R20" si="9">((L12+M12)/K12)+N12+O12+P12+Q12</f>
        <v>2.4177560159362552</v>
      </c>
      <c r="S12" s="226">
        <f t="shared" si="3"/>
        <v>18.63952401593626</v>
      </c>
      <c r="T12" s="229">
        <f t="shared" ref="T12:T30" si="10">(V12-S12)/V12</f>
        <v>7.5878829155366465E-2</v>
      </c>
      <c r="U12" s="226">
        <f t="shared" ref="U12:U30" si="11">V12-S12</f>
        <v>1.5304759840637416</v>
      </c>
      <c r="V12" s="230">
        <v>20.170000000000002</v>
      </c>
      <c r="W12" s="231">
        <v>26.6</v>
      </c>
      <c r="Y12" s="551"/>
      <c r="Z12" s="578"/>
      <c r="AA12" s="579"/>
      <c r="AB12" s="579"/>
      <c r="AC12" s="579"/>
      <c r="AD12" s="2"/>
    </row>
    <row r="13" spans="2:30" ht="15.6">
      <c r="B13" s="219">
        <v>125</v>
      </c>
      <c r="C13" s="220">
        <v>0.4</v>
      </c>
      <c r="D13" s="221">
        <v>0.4</v>
      </c>
      <c r="E13" s="222">
        <v>3.4249999999999998</v>
      </c>
      <c r="F13" s="223">
        <f t="shared" si="4"/>
        <v>1.3443125</v>
      </c>
      <c r="G13" s="220">
        <f t="shared" si="5"/>
        <v>3.2</v>
      </c>
      <c r="H13" s="224">
        <f t="shared" si="0"/>
        <v>4.3117999999999999</v>
      </c>
      <c r="I13" s="225">
        <f t="shared" si="6"/>
        <v>4.7</v>
      </c>
      <c r="J13" s="226">
        <f t="shared" si="7"/>
        <v>20.265460000000001</v>
      </c>
      <c r="K13" s="227">
        <v>250</v>
      </c>
      <c r="L13" s="228">
        <f t="shared" si="1"/>
        <v>394.62227091633468</v>
      </c>
      <c r="M13" s="226">
        <f>J5</f>
        <v>109.81673306772909</v>
      </c>
      <c r="N13" s="226"/>
      <c r="O13" s="226">
        <f t="shared" si="8"/>
        <v>0</v>
      </c>
      <c r="P13" s="226">
        <f t="shared" si="2"/>
        <v>0.4</v>
      </c>
      <c r="Q13" s="226"/>
      <c r="R13" s="226">
        <f t="shared" si="9"/>
        <v>2.4177560159362552</v>
      </c>
      <c r="S13" s="226">
        <f t="shared" si="3"/>
        <v>22.683216015936257</v>
      </c>
      <c r="T13" s="229">
        <f t="shared" si="10"/>
        <v>7.9788396919421592E-2</v>
      </c>
      <c r="U13" s="226">
        <f t="shared" si="11"/>
        <v>1.966783984063742</v>
      </c>
      <c r="V13" s="230">
        <v>24.65</v>
      </c>
      <c r="W13" s="231">
        <v>33.89</v>
      </c>
      <c r="Y13" s="551"/>
      <c r="Z13" s="580"/>
      <c r="AA13" s="579"/>
      <c r="AB13" s="579"/>
      <c r="AC13" s="579"/>
      <c r="AD13" s="2"/>
    </row>
    <row r="14" spans="2:30" ht="15.6">
      <c r="B14" s="219">
        <v>160</v>
      </c>
      <c r="C14" s="220">
        <v>0.4</v>
      </c>
      <c r="D14" s="221">
        <v>0.4</v>
      </c>
      <c r="E14" s="222">
        <v>3.4249999999999998</v>
      </c>
      <c r="F14" s="223">
        <f t="shared" si="4"/>
        <v>1.7207200000000002</v>
      </c>
      <c r="G14" s="220">
        <f t="shared" si="5"/>
        <v>3.2</v>
      </c>
      <c r="H14" s="224">
        <f t="shared" si="0"/>
        <v>5.5163040000000008</v>
      </c>
      <c r="I14" s="225">
        <f t="shared" si="6"/>
        <v>4.7</v>
      </c>
      <c r="J14" s="226">
        <f t="shared" si="7"/>
        <v>25.926628800000003</v>
      </c>
      <c r="K14" s="227">
        <v>250</v>
      </c>
      <c r="L14" s="228">
        <f t="shared" si="1"/>
        <v>394.62227091633468</v>
      </c>
      <c r="M14" s="226">
        <f>J5</f>
        <v>109.81673306772909</v>
      </c>
      <c r="N14" s="226"/>
      <c r="O14" s="226">
        <f t="shared" si="8"/>
        <v>0</v>
      </c>
      <c r="P14" s="226">
        <f t="shared" si="2"/>
        <v>0.4</v>
      </c>
      <c r="Q14" s="226"/>
      <c r="R14" s="226">
        <f t="shared" si="9"/>
        <v>2.4177560159362552</v>
      </c>
      <c r="S14" s="226">
        <f t="shared" si="3"/>
        <v>28.344384815936259</v>
      </c>
      <c r="T14" s="229">
        <f t="shared" si="10"/>
        <v>8.919071928225393E-2</v>
      </c>
      <c r="U14" s="226">
        <f t="shared" si="11"/>
        <v>2.7756151840637422</v>
      </c>
      <c r="V14" s="230">
        <v>31.12</v>
      </c>
      <c r="W14" s="231">
        <v>43.64</v>
      </c>
      <c r="Y14" s="551"/>
      <c r="Z14" s="580"/>
      <c r="AA14" s="579"/>
      <c r="AB14" s="579"/>
      <c r="AC14" s="579"/>
      <c r="AD14" s="2"/>
    </row>
    <row r="15" spans="2:30" ht="15.6">
      <c r="B15" s="219">
        <v>180</v>
      </c>
      <c r="C15" s="220">
        <v>0.4</v>
      </c>
      <c r="D15" s="221">
        <v>0.4</v>
      </c>
      <c r="E15" s="222">
        <v>3.4249999999999998</v>
      </c>
      <c r="F15" s="223">
        <f t="shared" si="4"/>
        <v>1.93581</v>
      </c>
      <c r="G15" s="220">
        <f t="shared" si="5"/>
        <v>3.2</v>
      </c>
      <c r="H15" s="224">
        <f t="shared" si="0"/>
        <v>6.2045919999999999</v>
      </c>
      <c r="I15" s="225">
        <f t="shared" si="6"/>
        <v>4.7</v>
      </c>
      <c r="J15" s="226">
        <f t="shared" si="7"/>
        <v>29.1615824</v>
      </c>
      <c r="K15" s="227">
        <v>250</v>
      </c>
      <c r="L15" s="228">
        <f t="shared" si="1"/>
        <v>394.62227091633468</v>
      </c>
      <c r="M15" s="226">
        <f>J5</f>
        <v>109.81673306772909</v>
      </c>
      <c r="N15" s="226"/>
      <c r="O15" s="226">
        <f t="shared" si="8"/>
        <v>0</v>
      </c>
      <c r="P15" s="226">
        <f t="shared" si="2"/>
        <v>0.4</v>
      </c>
      <c r="Q15" s="226"/>
      <c r="R15" s="226">
        <f t="shared" si="9"/>
        <v>2.4177560159362552</v>
      </c>
      <c r="S15" s="226">
        <f t="shared" si="3"/>
        <v>31.579338415936256</v>
      </c>
      <c r="T15" s="229">
        <f t="shared" si="10"/>
        <v>0.35983502096216791</v>
      </c>
      <c r="U15" s="226">
        <f t="shared" si="11"/>
        <v>17.750661584063742</v>
      </c>
      <c r="V15" s="230">
        <v>49.33</v>
      </c>
      <c r="W15" s="231">
        <v>49.33</v>
      </c>
      <c r="Y15" s="551"/>
      <c r="Z15" s="580"/>
      <c r="AA15" s="579"/>
      <c r="AB15" s="579"/>
      <c r="AC15" s="579"/>
      <c r="AD15" s="2"/>
    </row>
    <row r="16" spans="2:30" ht="15.6">
      <c r="B16" s="219">
        <v>200</v>
      </c>
      <c r="C16" s="220">
        <v>0.4</v>
      </c>
      <c r="D16" s="221">
        <v>0.4</v>
      </c>
      <c r="E16" s="222">
        <v>3.4249999999999998</v>
      </c>
      <c r="F16" s="223">
        <f t="shared" si="4"/>
        <v>2.1509000000000005</v>
      </c>
      <c r="G16" s="220">
        <f t="shared" si="5"/>
        <v>3.2</v>
      </c>
      <c r="H16" s="224">
        <f t="shared" si="0"/>
        <v>6.8928800000000017</v>
      </c>
      <c r="I16" s="225">
        <f t="shared" si="6"/>
        <v>4.7</v>
      </c>
      <c r="J16" s="226">
        <f t="shared" si="7"/>
        <v>32.396536000000012</v>
      </c>
      <c r="K16" s="227">
        <v>250</v>
      </c>
      <c r="L16" s="228">
        <f t="shared" si="1"/>
        <v>394.62227091633468</v>
      </c>
      <c r="M16" s="226">
        <f>J5</f>
        <v>109.81673306772909</v>
      </c>
      <c r="N16" s="226"/>
      <c r="O16" s="226">
        <f t="shared" si="8"/>
        <v>0</v>
      </c>
      <c r="P16" s="226">
        <f t="shared" si="2"/>
        <v>0.4</v>
      </c>
      <c r="Q16" s="226"/>
      <c r="R16" s="226">
        <f t="shared" si="9"/>
        <v>2.4177560159362552</v>
      </c>
      <c r="S16" s="226">
        <f t="shared" si="3"/>
        <v>34.814292015936267</v>
      </c>
      <c r="T16" s="229">
        <f t="shared" si="10"/>
        <v>8.8869614866886507E-2</v>
      </c>
      <c r="U16" s="226">
        <f t="shared" si="11"/>
        <v>3.3957079840637334</v>
      </c>
      <c r="V16" s="230">
        <v>38.21</v>
      </c>
      <c r="W16" s="231">
        <v>54.8</v>
      </c>
      <c r="Y16" s="551"/>
      <c r="Z16" s="580"/>
      <c r="AA16" s="579"/>
      <c r="AB16" s="579"/>
      <c r="AC16" s="579"/>
      <c r="AD16" s="2"/>
    </row>
    <row r="17" spans="2:30" ht="15.6">
      <c r="B17" s="219">
        <v>225</v>
      </c>
      <c r="C17" s="220">
        <v>0.45</v>
      </c>
      <c r="D17" s="221">
        <v>0.45</v>
      </c>
      <c r="E17" s="222">
        <v>3.4249999999999998</v>
      </c>
      <c r="F17" s="223">
        <f t="shared" si="4"/>
        <v>2.4197625</v>
      </c>
      <c r="G17" s="220">
        <f t="shared" si="5"/>
        <v>3.6</v>
      </c>
      <c r="H17" s="224">
        <f t="shared" ref="H17:H30" si="12">G17*F17+0.01</f>
        <v>8.7211449999999999</v>
      </c>
      <c r="I17" s="225">
        <f t="shared" si="6"/>
        <v>4.4000000000000004</v>
      </c>
      <c r="J17" s="226">
        <f t="shared" si="7"/>
        <v>38.373038000000001</v>
      </c>
      <c r="K17" s="227">
        <v>250</v>
      </c>
      <c r="L17" s="228">
        <f t="shared" si="1"/>
        <v>394.62227091633468</v>
      </c>
      <c r="M17" s="226">
        <f>J5</f>
        <v>109.81673306772909</v>
      </c>
      <c r="N17" s="226"/>
      <c r="O17" s="226">
        <f t="shared" si="8"/>
        <v>0</v>
      </c>
      <c r="P17" s="226">
        <f t="shared" si="2"/>
        <v>0.4</v>
      </c>
      <c r="Q17" s="226"/>
      <c r="R17" s="226">
        <f t="shared" si="9"/>
        <v>2.4177560159362552</v>
      </c>
      <c r="S17" s="226">
        <f t="shared" si="3"/>
        <v>40.790794015936257</v>
      </c>
      <c r="T17" s="229">
        <f t="shared" si="10"/>
        <v>0.26103634029100986</v>
      </c>
      <c r="U17" s="226">
        <f t="shared" si="11"/>
        <v>14.409205984063746</v>
      </c>
      <c r="V17" s="230">
        <v>55.2</v>
      </c>
      <c r="W17" s="231">
        <v>67.09</v>
      </c>
      <c r="Y17" s="551"/>
      <c r="Z17" s="580"/>
      <c r="AA17" s="579"/>
      <c r="AB17" s="579"/>
      <c r="AC17" s="579"/>
      <c r="AD17" s="2"/>
    </row>
    <row r="18" spans="2:30" ht="15.6">
      <c r="B18" s="219">
        <v>250</v>
      </c>
      <c r="C18" s="220">
        <v>0.45</v>
      </c>
      <c r="D18" s="221">
        <v>0.45</v>
      </c>
      <c r="E18" s="222">
        <v>3.4249999999999998</v>
      </c>
      <c r="F18" s="223">
        <f t="shared" si="4"/>
        <v>2.688625</v>
      </c>
      <c r="G18" s="220">
        <f t="shared" si="5"/>
        <v>3.6</v>
      </c>
      <c r="H18" s="224">
        <f t="shared" si="12"/>
        <v>9.6890499999999999</v>
      </c>
      <c r="I18" s="225">
        <f t="shared" si="6"/>
        <v>4.4000000000000004</v>
      </c>
      <c r="J18" s="226">
        <f t="shared" si="7"/>
        <v>42.631820000000005</v>
      </c>
      <c r="K18" s="227">
        <v>250</v>
      </c>
      <c r="L18" s="228">
        <f t="shared" si="1"/>
        <v>394.62227091633468</v>
      </c>
      <c r="M18" s="226">
        <f>J5</f>
        <v>109.81673306772909</v>
      </c>
      <c r="N18" s="226"/>
      <c r="O18" s="226">
        <f t="shared" si="8"/>
        <v>0</v>
      </c>
      <c r="P18" s="226">
        <f t="shared" si="2"/>
        <v>0.4</v>
      </c>
      <c r="Q18" s="226"/>
      <c r="R18" s="226">
        <f t="shared" si="9"/>
        <v>2.4177560159362552</v>
      </c>
      <c r="S18" s="226">
        <f t="shared" si="3"/>
        <v>45.04957601593626</v>
      </c>
      <c r="T18" s="229">
        <f t="shared" si="10"/>
        <v>0.18388449246492286</v>
      </c>
      <c r="U18" s="226">
        <f t="shared" si="11"/>
        <v>10.150423984063742</v>
      </c>
      <c r="V18" s="230">
        <v>55.2</v>
      </c>
      <c r="W18" s="231">
        <v>68.83</v>
      </c>
      <c r="Y18" s="551"/>
      <c r="Z18" s="580"/>
      <c r="AA18" s="579"/>
      <c r="AB18" s="579"/>
      <c r="AC18" s="579"/>
      <c r="AD18" s="2"/>
    </row>
    <row r="19" spans="2:30" ht="15.6">
      <c r="B19" s="219">
        <v>280</v>
      </c>
      <c r="C19" s="220">
        <v>0.45</v>
      </c>
      <c r="D19" s="221">
        <v>0.45</v>
      </c>
      <c r="E19" s="222">
        <v>3.4249999999999998</v>
      </c>
      <c r="F19" s="223">
        <f t="shared" si="4"/>
        <v>3.01126</v>
      </c>
      <c r="G19" s="220">
        <f t="shared" si="5"/>
        <v>3.6</v>
      </c>
      <c r="H19" s="224">
        <f t="shared" si="12"/>
        <v>10.850536</v>
      </c>
      <c r="I19" s="225">
        <f t="shared" si="6"/>
        <v>4.4000000000000004</v>
      </c>
      <c r="J19" s="226">
        <f t="shared" si="7"/>
        <v>47.742358400000001</v>
      </c>
      <c r="K19" s="227">
        <v>250</v>
      </c>
      <c r="L19" s="228">
        <f t="shared" si="1"/>
        <v>394.62227091633468</v>
      </c>
      <c r="M19" s="226">
        <f>J5</f>
        <v>109.81673306772909</v>
      </c>
      <c r="N19" s="226"/>
      <c r="O19" s="226">
        <f t="shared" si="8"/>
        <v>0</v>
      </c>
      <c r="P19" s="226">
        <f t="shared" si="2"/>
        <v>0.4</v>
      </c>
      <c r="Q19" s="226"/>
      <c r="R19" s="226">
        <f t="shared" si="9"/>
        <v>2.4177560159362552</v>
      </c>
      <c r="S19" s="226">
        <f t="shared" si="3"/>
        <v>50.160114415936256</v>
      </c>
      <c r="T19" s="229">
        <f t="shared" si="10"/>
        <v>0.49333217761680548</v>
      </c>
      <c r="U19" s="226">
        <f t="shared" si="11"/>
        <v>48.839885584063744</v>
      </c>
      <c r="V19" s="230">
        <v>99</v>
      </c>
      <c r="W19" s="231">
        <v>83.06</v>
      </c>
      <c r="Y19" s="551"/>
      <c r="Z19" s="580"/>
      <c r="AA19" s="579"/>
      <c r="AB19" s="579"/>
      <c r="AC19" s="579"/>
      <c r="AD19" s="2"/>
    </row>
    <row r="20" spans="2:30" ht="15.6">
      <c r="B20" s="219">
        <v>315</v>
      </c>
      <c r="C20" s="220">
        <v>0.45</v>
      </c>
      <c r="D20" s="221">
        <v>0.45</v>
      </c>
      <c r="E20" s="222">
        <v>3.4249999999999998</v>
      </c>
      <c r="F20" s="223">
        <f t="shared" si="4"/>
        <v>3.3876675000000001</v>
      </c>
      <c r="G20" s="220">
        <f t="shared" si="5"/>
        <v>3.6</v>
      </c>
      <c r="H20" s="224">
        <f t="shared" si="12"/>
        <v>12.205603</v>
      </c>
      <c r="I20" s="225">
        <f t="shared" si="6"/>
        <v>4.4000000000000004</v>
      </c>
      <c r="J20" s="226">
        <f t="shared" si="7"/>
        <v>53.704653200000003</v>
      </c>
      <c r="K20" s="227">
        <v>250</v>
      </c>
      <c r="L20" s="228">
        <f t="shared" si="1"/>
        <v>394.62227091633468</v>
      </c>
      <c r="M20" s="226">
        <f>J5</f>
        <v>109.81673306772909</v>
      </c>
      <c r="N20" s="226"/>
      <c r="O20" s="226">
        <f t="shared" si="8"/>
        <v>0</v>
      </c>
      <c r="P20" s="226">
        <f t="shared" si="2"/>
        <v>0.4</v>
      </c>
      <c r="Q20" s="226"/>
      <c r="R20" s="226">
        <f t="shared" si="9"/>
        <v>2.4177560159362552</v>
      </c>
      <c r="S20" s="226">
        <f t="shared" si="3"/>
        <v>56.122409215936258</v>
      </c>
      <c r="T20" s="229">
        <f t="shared" si="10"/>
        <v>0.17817529336745858</v>
      </c>
      <c r="U20" s="226">
        <f t="shared" si="11"/>
        <v>12.167590784063748</v>
      </c>
      <c r="V20" s="230">
        <v>68.290000000000006</v>
      </c>
      <c r="W20" s="231">
        <v>95.8</v>
      </c>
      <c r="Y20" s="551"/>
      <c r="Z20" s="580"/>
      <c r="AA20" s="579"/>
      <c r="AB20" s="579"/>
      <c r="AC20" s="579"/>
    </row>
    <row r="21" spans="2:30" ht="15.6">
      <c r="B21" s="219">
        <v>355</v>
      </c>
      <c r="C21" s="220">
        <v>0.5</v>
      </c>
      <c r="D21" s="221">
        <v>0.5</v>
      </c>
      <c r="E21" s="222">
        <v>3.4249999999999998</v>
      </c>
      <c r="F21" s="223">
        <f t="shared" si="4"/>
        <v>3.8178475000000001</v>
      </c>
      <c r="G21" s="220">
        <f t="shared" si="5"/>
        <v>4</v>
      </c>
      <c r="H21" s="224">
        <f t="shared" si="12"/>
        <v>15.28139</v>
      </c>
      <c r="I21" s="225">
        <f t="shared" si="6"/>
        <v>4.5</v>
      </c>
      <c r="J21" s="226">
        <f t="shared" si="7"/>
        <v>68.766255000000001</v>
      </c>
      <c r="K21" s="227">
        <v>130</v>
      </c>
      <c r="L21" s="228">
        <f t="shared" si="1"/>
        <v>394.62227091633468</v>
      </c>
      <c r="M21" s="226">
        <f>J5</f>
        <v>109.81673306772909</v>
      </c>
      <c r="N21" s="226"/>
      <c r="O21" s="226">
        <f t="shared" si="8"/>
        <v>0</v>
      </c>
      <c r="P21" s="226">
        <f t="shared" si="2"/>
        <v>0.76923076923076927</v>
      </c>
      <c r="Q21" s="226"/>
      <c r="R21" s="226">
        <f t="shared" ref="R21:R30" si="13">((Q21/21)+O21+M21+L21)/K21</f>
        <v>3.8803000306466444</v>
      </c>
      <c r="S21" s="226">
        <f t="shared" si="3"/>
        <v>72.646555030646653</v>
      </c>
      <c r="T21" s="229">
        <f t="shared" si="10"/>
        <v>0.26701084622493537</v>
      </c>
      <c r="U21" s="226">
        <f t="shared" si="11"/>
        <v>26.463444969353347</v>
      </c>
      <c r="V21" s="230">
        <v>99.11</v>
      </c>
      <c r="W21" s="231">
        <v>112.84</v>
      </c>
      <c r="Y21" s="551"/>
      <c r="Z21" s="580"/>
      <c r="AA21" s="579"/>
      <c r="AB21" s="579"/>
      <c r="AC21" s="579"/>
    </row>
    <row r="22" spans="2:30" ht="15.6">
      <c r="B22" s="219">
        <v>400</v>
      </c>
      <c r="C22" s="220">
        <v>0.5</v>
      </c>
      <c r="D22" s="221">
        <v>0.5</v>
      </c>
      <c r="E22" s="222">
        <v>3.4249999999999998</v>
      </c>
      <c r="F22" s="223">
        <f t="shared" si="4"/>
        <v>4.301800000000001</v>
      </c>
      <c r="G22" s="220">
        <f t="shared" si="5"/>
        <v>4</v>
      </c>
      <c r="H22" s="224">
        <f t="shared" si="12"/>
        <v>17.217200000000005</v>
      </c>
      <c r="I22" s="225">
        <f t="shared" si="6"/>
        <v>4.5</v>
      </c>
      <c r="J22" s="226">
        <f t="shared" si="7"/>
        <v>77.477400000000017</v>
      </c>
      <c r="K22" s="227">
        <v>115</v>
      </c>
      <c r="L22" s="228">
        <f t="shared" si="1"/>
        <v>394.62227091633468</v>
      </c>
      <c r="M22" s="226">
        <f>J5</f>
        <v>109.81673306772909</v>
      </c>
      <c r="N22" s="226"/>
      <c r="O22" s="226">
        <f t="shared" si="8"/>
        <v>0</v>
      </c>
      <c r="P22" s="226">
        <f t="shared" si="2"/>
        <v>0.86956521739130432</v>
      </c>
      <c r="Q22" s="226"/>
      <c r="R22" s="226">
        <f t="shared" si="13"/>
        <v>4.3864261216005547</v>
      </c>
      <c r="S22" s="226">
        <f t="shared" si="3"/>
        <v>81.863826121600567</v>
      </c>
      <c r="T22" s="229">
        <f t="shared" si="10"/>
        <v>0.34971938897767441</v>
      </c>
      <c r="U22" s="226">
        <f t="shared" si="11"/>
        <v>44.026173878399433</v>
      </c>
      <c r="V22" s="230">
        <v>125.89</v>
      </c>
      <c r="W22" s="231">
        <v>125.12</v>
      </c>
      <c r="Y22" s="551"/>
      <c r="Z22" s="580"/>
      <c r="AA22" s="579"/>
      <c r="AB22" s="579"/>
      <c r="AC22" s="578"/>
    </row>
    <row r="23" spans="2:30" ht="15.6">
      <c r="B23" s="219">
        <v>450</v>
      </c>
      <c r="C23" s="220">
        <v>0.5</v>
      </c>
      <c r="D23" s="221">
        <v>0.5</v>
      </c>
      <c r="E23" s="222">
        <v>3.4249999999999998</v>
      </c>
      <c r="F23" s="223">
        <f t="shared" si="4"/>
        <v>4.8395250000000001</v>
      </c>
      <c r="G23" s="220">
        <f t="shared" si="5"/>
        <v>4</v>
      </c>
      <c r="H23" s="224">
        <f t="shared" si="12"/>
        <v>19.368100000000002</v>
      </c>
      <c r="I23" s="225">
        <f t="shared" si="6"/>
        <v>4.5</v>
      </c>
      <c r="J23" s="226">
        <f t="shared" si="7"/>
        <v>87.156450000000007</v>
      </c>
      <c r="K23" s="227">
        <v>102</v>
      </c>
      <c r="L23" s="228">
        <f t="shared" si="1"/>
        <v>394.62227091633468</v>
      </c>
      <c r="M23" s="226">
        <f>J5</f>
        <v>109.81673306772909</v>
      </c>
      <c r="N23" s="226"/>
      <c r="O23" s="226">
        <f t="shared" si="8"/>
        <v>0</v>
      </c>
      <c r="P23" s="226">
        <f t="shared" si="2"/>
        <v>0.98039215686274506</v>
      </c>
      <c r="Q23" s="226"/>
      <c r="R23" s="226">
        <f t="shared" si="13"/>
        <v>4.9454804312163114</v>
      </c>
      <c r="S23" s="226">
        <f t="shared" si="3"/>
        <v>92.101930431216317</v>
      </c>
      <c r="T23" s="229">
        <f t="shared" si="10"/>
        <v>0.36808281007741805</v>
      </c>
      <c r="U23" s="226">
        <f t="shared" si="11"/>
        <v>53.648069568783683</v>
      </c>
      <c r="V23" s="230">
        <v>145.75</v>
      </c>
      <c r="W23" s="231">
        <v>140.77000000000001</v>
      </c>
      <c r="Y23" s="551"/>
      <c r="Z23" s="580"/>
      <c r="AA23" s="579"/>
      <c r="AB23" s="579"/>
      <c r="AC23" s="578"/>
      <c r="AD23" s="207"/>
    </row>
    <row r="24" spans="2:30" ht="15.6">
      <c r="B24" s="219">
        <v>500</v>
      </c>
      <c r="C24" s="220">
        <v>0.6</v>
      </c>
      <c r="D24" s="221">
        <v>0.6</v>
      </c>
      <c r="E24" s="222">
        <v>3.4249999999999998</v>
      </c>
      <c r="F24" s="223">
        <f t="shared" si="4"/>
        <v>5.3772500000000001</v>
      </c>
      <c r="G24" s="220">
        <f t="shared" si="5"/>
        <v>4.8</v>
      </c>
      <c r="H24" s="224">
        <f t="shared" si="12"/>
        <v>25.820800000000002</v>
      </c>
      <c r="I24" s="225">
        <f t="shared" si="6"/>
        <v>4.4000000000000004</v>
      </c>
      <c r="J24" s="226">
        <f t="shared" si="7"/>
        <v>113.61152000000001</v>
      </c>
      <c r="K24" s="227">
        <v>92</v>
      </c>
      <c r="L24" s="228">
        <f t="shared" si="1"/>
        <v>394.62227091633468</v>
      </c>
      <c r="M24" s="226">
        <f>J5</f>
        <v>109.81673306772909</v>
      </c>
      <c r="N24" s="226"/>
      <c r="O24" s="226">
        <f t="shared" si="8"/>
        <v>0</v>
      </c>
      <c r="P24" s="226">
        <f t="shared" si="2"/>
        <v>1.0869565217391304</v>
      </c>
      <c r="Q24" s="226"/>
      <c r="R24" s="226">
        <f t="shared" si="13"/>
        <v>5.4830326520006931</v>
      </c>
      <c r="S24" s="226">
        <f t="shared" si="3"/>
        <v>119.0945526520007</v>
      </c>
      <c r="T24" s="229">
        <f t="shared" si="10"/>
        <v>0.3389511953152714</v>
      </c>
      <c r="U24" s="226">
        <f t="shared" si="11"/>
        <v>61.065447347999296</v>
      </c>
      <c r="V24" s="230">
        <v>180.16</v>
      </c>
      <c r="W24" s="231">
        <v>164.68</v>
      </c>
      <c r="Y24" s="551"/>
      <c r="Z24" s="580"/>
      <c r="AA24" s="579"/>
      <c r="AB24" s="579"/>
      <c r="AC24" s="578"/>
      <c r="AD24" s="207"/>
    </row>
    <row r="25" spans="2:30" ht="15.6">
      <c r="B25" s="219">
        <v>560</v>
      </c>
      <c r="C25" s="220">
        <v>0.6</v>
      </c>
      <c r="D25" s="221">
        <v>0.6</v>
      </c>
      <c r="E25" s="222">
        <v>3.4249999999999998</v>
      </c>
      <c r="F25" s="223">
        <f t="shared" si="4"/>
        <v>6.0225200000000001</v>
      </c>
      <c r="G25" s="220">
        <f t="shared" si="5"/>
        <v>4.8</v>
      </c>
      <c r="H25" s="224">
        <f t="shared" si="12"/>
        <v>28.918096000000002</v>
      </c>
      <c r="I25" s="225">
        <f t="shared" si="6"/>
        <v>4.4000000000000004</v>
      </c>
      <c r="J25" s="226">
        <f t="shared" si="7"/>
        <v>127.23962240000002</v>
      </c>
      <c r="K25" s="227">
        <v>82</v>
      </c>
      <c r="L25" s="228">
        <f t="shared" si="1"/>
        <v>394.62227091633468</v>
      </c>
      <c r="M25" s="226">
        <f>J5</f>
        <v>109.81673306772909</v>
      </c>
      <c r="N25" s="226"/>
      <c r="O25" s="226">
        <f t="shared" si="8"/>
        <v>0</v>
      </c>
      <c r="P25" s="226">
        <f t="shared" si="2"/>
        <v>1.2195121951219512</v>
      </c>
      <c r="Q25" s="226"/>
      <c r="R25" s="226">
        <f t="shared" si="13"/>
        <v>6.151695170537363</v>
      </c>
      <c r="S25" s="226">
        <f t="shared" si="3"/>
        <v>133.39131757053738</v>
      </c>
      <c r="T25" s="229">
        <f t="shared" si="10"/>
        <v>0.3159419611767314</v>
      </c>
      <c r="U25" s="226">
        <f t="shared" si="11"/>
        <v>61.608682429462618</v>
      </c>
      <c r="V25" s="230">
        <v>195</v>
      </c>
      <c r="W25" s="231">
        <v>190.56</v>
      </c>
      <c r="Y25" s="551"/>
      <c r="Z25" s="549"/>
      <c r="AA25" s="548"/>
      <c r="AB25" s="548"/>
      <c r="AC25" s="547"/>
      <c r="AD25" s="207"/>
    </row>
    <row r="26" spans="2:30">
      <c r="B26" s="219">
        <v>630</v>
      </c>
      <c r="C26" s="220">
        <v>0.6</v>
      </c>
      <c r="D26" s="221">
        <v>0.6</v>
      </c>
      <c r="E26" s="222">
        <v>3.4249999999999998</v>
      </c>
      <c r="F26" s="223">
        <f t="shared" si="4"/>
        <v>6.7753350000000001</v>
      </c>
      <c r="G26" s="220">
        <f t="shared" si="5"/>
        <v>4.8</v>
      </c>
      <c r="H26" s="224">
        <f t="shared" si="12"/>
        <v>32.531607999999999</v>
      </c>
      <c r="I26" s="225">
        <f t="shared" si="6"/>
        <v>4.4000000000000004</v>
      </c>
      <c r="J26" s="226">
        <f t="shared" si="7"/>
        <v>143.13907520000001</v>
      </c>
      <c r="K26" s="227">
        <v>73</v>
      </c>
      <c r="L26" s="228">
        <f t="shared" si="1"/>
        <v>394.62227091633468</v>
      </c>
      <c r="M26" s="226">
        <f>J5</f>
        <v>109.81673306772909</v>
      </c>
      <c r="N26" s="226"/>
      <c r="O26" s="226">
        <f t="shared" si="8"/>
        <v>0</v>
      </c>
      <c r="P26" s="226">
        <f t="shared" si="2"/>
        <v>1.3698630136986301</v>
      </c>
      <c r="Q26" s="226"/>
      <c r="R26" s="226">
        <f t="shared" si="13"/>
        <v>6.9101233422474495</v>
      </c>
      <c r="S26" s="226">
        <f t="shared" si="3"/>
        <v>150.04919854224747</v>
      </c>
      <c r="T26" s="229">
        <f t="shared" si="10"/>
        <v>0.31170092411813088</v>
      </c>
      <c r="U26" s="226">
        <f t="shared" si="11"/>
        <v>67.950801457752533</v>
      </c>
      <c r="V26" s="230">
        <v>218</v>
      </c>
      <c r="W26" s="231">
        <v>214.37</v>
      </c>
      <c r="AA26" s="232"/>
      <c r="AB26" s="232"/>
      <c r="AC26" s="205"/>
      <c r="AD26" s="207"/>
    </row>
    <row r="27" spans="2:30">
      <c r="B27" s="219">
        <v>710</v>
      </c>
      <c r="C27" s="220">
        <v>0.6</v>
      </c>
      <c r="D27" s="221">
        <v>0.6</v>
      </c>
      <c r="E27" s="222">
        <v>3.4249999999999998</v>
      </c>
      <c r="F27" s="223">
        <f t="shared" si="4"/>
        <v>7.6356950000000001</v>
      </c>
      <c r="G27" s="220">
        <f t="shared" si="5"/>
        <v>4.8</v>
      </c>
      <c r="H27" s="224">
        <f t="shared" si="12"/>
        <v>36.661335999999999</v>
      </c>
      <c r="I27" s="225">
        <f t="shared" si="6"/>
        <v>4.4000000000000004</v>
      </c>
      <c r="J27" s="226">
        <f t="shared" si="7"/>
        <v>161.3098784</v>
      </c>
      <c r="K27" s="227">
        <v>65</v>
      </c>
      <c r="L27" s="228">
        <f t="shared" si="1"/>
        <v>394.62227091633468</v>
      </c>
      <c r="M27" s="226">
        <f>J5</f>
        <v>109.81673306772909</v>
      </c>
      <c r="N27" s="226"/>
      <c r="O27" s="226">
        <f t="shared" si="8"/>
        <v>0</v>
      </c>
      <c r="P27" s="226">
        <f t="shared" si="2"/>
        <v>1.5384615384615385</v>
      </c>
      <c r="Q27" s="226"/>
      <c r="R27" s="226">
        <f t="shared" si="13"/>
        <v>7.7606000612932888</v>
      </c>
      <c r="S27" s="226">
        <f t="shared" si="3"/>
        <v>169.07047846129331</v>
      </c>
      <c r="T27" s="229">
        <f t="shared" si="10"/>
        <v>0.34590498893031069</v>
      </c>
      <c r="U27" s="226">
        <f t="shared" si="11"/>
        <v>89.409521538706713</v>
      </c>
      <c r="V27" s="230">
        <v>258.48</v>
      </c>
      <c r="W27" s="231">
        <v>241.57</v>
      </c>
      <c r="AA27" s="232"/>
      <c r="AB27" s="232"/>
      <c r="AC27" s="205"/>
      <c r="AD27" s="207"/>
    </row>
    <row r="28" spans="2:30">
      <c r="B28" s="219">
        <v>800</v>
      </c>
      <c r="C28" s="220">
        <v>0.7</v>
      </c>
      <c r="D28" s="221">
        <v>0.6</v>
      </c>
      <c r="E28" s="222">
        <v>3.4249999999999998</v>
      </c>
      <c r="F28" s="223">
        <f t="shared" si="4"/>
        <v>8.6036000000000019</v>
      </c>
      <c r="G28" s="220">
        <f t="shared" si="5"/>
        <v>4.8</v>
      </c>
      <c r="H28" s="224">
        <f t="shared" si="12"/>
        <v>41.307280000000006</v>
      </c>
      <c r="I28" s="225">
        <f t="shared" si="6"/>
        <v>4.4000000000000004</v>
      </c>
      <c r="J28" s="226">
        <f t="shared" si="7"/>
        <v>181.75203200000004</v>
      </c>
      <c r="K28" s="227">
        <v>57</v>
      </c>
      <c r="L28" s="228">
        <f t="shared" si="1"/>
        <v>394.62227091633468</v>
      </c>
      <c r="M28" s="226">
        <f>J5</f>
        <v>109.81673306772909</v>
      </c>
      <c r="N28" s="226"/>
      <c r="O28" s="226">
        <f t="shared" si="8"/>
        <v>0</v>
      </c>
      <c r="P28" s="226">
        <f t="shared" si="2"/>
        <v>1.7543859649122806</v>
      </c>
      <c r="Q28" s="226"/>
      <c r="R28" s="226">
        <f t="shared" si="13"/>
        <v>8.8498070874397161</v>
      </c>
      <c r="S28" s="226">
        <f t="shared" si="3"/>
        <v>190.60183908743977</v>
      </c>
      <c r="T28" s="229">
        <f t="shared" si="10"/>
        <v>0.34525835908268432</v>
      </c>
      <c r="U28" s="226">
        <f t="shared" si="11"/>
        <v>100.50816091256024</v>
      </c>
      <c r="V28" s="230">
        <v>291.11</v>
      </c>
      <c r="W28" s="231">
        <v>272.07</v>
      </c>
      <c r="AA28" s="232"/>
      <c r="AB28" s="232"/>
      <c r="AC28" s="205"/>
      <c r="AD28" s="207"/>
    </row>
    <row r="29" spans="2:30">
      <c r="B29" s="219">
        <v>900</v>
      </c>
      <c r="C29" s="220">
        <v>0.7</v>
      </c>
      <c r="D29" s="221">
        <v>0.7</v>
      </c>
      <c r="E29" s="222">
        <v>3.4249999999999998</v>
      </c>
      <c r="F29" s="223">
        <f t="shared" si="4"/>
        <v>9.6790500000000002</v>
      </c>
      <c r="G29" s="220">
        <f t="shared" si="5"/>
        <v>5.6</v>
      </c>
      <c r="H29" s="224">
        <f t="shared" si="12"/>
        <v>54.212679999999999</v>
      </c>
      <c r="I29" s="225">
        <f t="shared" si="6"/>
        <v>5</v>
      </c>
      <c r="J29" s="226">
        <f t="shared" si="7"/>
        <v>271.0634</v>
      </c>
      <c r="K29" s="227">
        <v>51</v>
      </c>
      <c r="L29" s="228">
        <f t="shared" si="1"/>
        <v>394.62227091633468</v>
      </c>
      <c r="M29" s="226">
        <f>J5</f>
        <v>109.81673306772909</v>
      </c>
      <c r="N29" s="226"/>
      <c r="O29" s="226">
        <f t="shared" si="8"/>
        <v>0</v>
      </c>
      <c r="P29" s="226">
        <f t="shared" si="2"/>
        <v>1.9607843137254901</v>
      </c>
      <c r="Q29" s="226"/>
      <c r="R29" s="226">
        <f t="shared" si="13"/>
        <v>9.8909608624326228</v>
      </c>
      <c r="S29" s="226">
        <f t="shared" si="3"/>
        <v>280.95436086243262</v>
      </c>
      <c r="T29" s="229">
        <f t="shared" si="10"/>
        <v>0.42825730390225347</v>
      </c>
      <c r="U29" s="226">
        <f t="shared" si="11"/>
        <v>210.44563913756735</v>
      </c>
      <c r="V29" s="230">
        <v>491.4</v>
      </c>
      <c r="W29" s="231">
        <v>459.25</v>
      </c>
      <c r="AA29" s="206"/>
      <c r="AB29" s="206"/>
      <c r="AC29" s="205"/>
      <c r="AD29" s="207"/>
    </row>
    <row r="30" spans="2:30">
      <c r="B30" s="219">
        <v>1000</v>
      </c>
      <c r="C30" s="220">
        <v>0.7</v>
      </c>
      <c r="D30" s="221">
        <v>0.7</v>
      </c>
      <c r="E30" s="222">
        <v>3.4249999999999998</v>
      </c>
      <c r="F30" s="223">
        <f t="shared" si="4"/>
        <v>10.7545</v>
      </c>
      <c r="G30" s="220">
        <f t="shared" si="5"/>
        <v>5.6</v>
      </c>
      <c r="H30" s="224">
        <f t="shared" si="12"/>
        <v>60.235199999999992</v>
      </c>
      <c r="I30" s="225">
        <f t="shared" si="6"/>
        <v>5</v>
      </c>
      <c r="J30" s="226">
        <f t="shared" si="7"/>
        <v>301.17599999999993</v>
      </c>
      <c r="K30" s="227">
        <v>46</v>
      </c>
      <c r="L30" s="228">
        <f t="shared" si="1"/>
        <v>394.62227091633468</v>
      </c>
      <c r="M30" s="226">
        <f>J5</f>
        <v>109.81673306772909</v>
      </c>
      <c r="N30" s="226"/>
      <c r="O30" s="226">
        <f t="shared" si="8"/>
        <v>0</v>
      </c>
      <c r="P30" s="226">
        <f t="shared" si="2"/>
        <v>2.1739130434782608</v>
      </c>
      <c r="Q30" s="226"/>
      <c r="R30" s="226">
        <f t="shared" si="13"/>
        <v>10.966065304001386</v>
      </c>
      <c r="S30" s="226">
        <f t="shared" si="3"/>
        <v>312.14206530400133</v>
      </c>
      <c r="T30" s="229">
        <f t="shared" si="10"/>
        <v>0.4285833388789197</v>
      </c>
      <c r="U30" s="226">
        <f t="shared" si="11"/>
        <v>234.11793469599866</v>
      </c>
      <c r="V30" s="230">
        <v>546.26</v>
      </c>
      <c r="W30" s="231">
        <v>510.52</v>
      </c>
      <c r="AD30" s="207"/>
    </row>
    <row r="33" spans="2:29">
      <c r="Y33"/>
      <c r="Z33"/>
      <c r="AA33"/>
      <c r="AB33"/>
      <c r="AC33"/>
    </row>
    <row r="34" spans="2:29">
      <c r="B34" t="s">
        <v>393</v>
      </c>
      <c r="U34" s="205"/>
      <c r="V34" s="207"/>
      <c r="W34" s="207"/>
      <c r="X34"/>
      <c r="Y34"/>
      <c r="Z34"/>
      <c r="AA34"/>
      <c r="AB34"/>
      <c r="AC34"/>
    </row>
    <row r="35" spans="2:29">
      <c r="B35" t="s">
        <v>394</v>
      </c>
      <c r="U35" s="205"/>
      <c r="V35" s="207"/>
      <c r="W35" s="207"/>
      <c r="X35"/>
      <c r="Y35"/>
      <c r="Z35"/>
      <c r="AA35"/>
      <c r="AB35"/>
      <c r="AC35"/>
    </row>
    <row r="36" spans="2:29">
      <c r="B36" t="s">
        <v>395</v>
      </c>
      <c r="U36" s="205"/>
      <c r="V36" s="207"/>
      <c r="W36" s="207"/>
      <c r="X36"/>
      <c r="Y36"/>
      <c r="Z36"/>
      <c r="AA36"/>
      <c r="AB36"/>
      <c r="AC36"/>
    </row>
    <row r="37" spans="2:29">
      <c r="B37" t="s">
        <v>396</v>
      </c>
      <c r="L37" s="399"/>
      <c r="U37" s="205"/>
      <c r="V37" s="207"/>
      <c r="W37" s="207"/>
      <c r="X37"/>
      <c r="Y37"/>
      <c r="Z37"/>
      <c r="AA37"/>
      <c r="AB37"/>
      <c r="AC37"/>
    </row>
    <row r="38" spans="2:29">
      <c r="U38" s="205"/>
      <c r="V38" s="207"/>
      <c r="W38" s="207"/>
      <c r="X38"/>
      <c r="Y38"/>
      <c r="Z38"/>
      <c r="AA38"/>
      <c r="AB38"/>
      <c r="AC38"/>
    </row>
    <row r="39" spans="2:29">
      <c r="U39" s="205"/>
      <c r="V39" s="207"/>
      <c r="W39" s="207"/>
      <c r="X39"/>
      <c r="Y39"/>
      <c r="Z39"/>
      <c r="AA39"/>
      <c r="AB39"/>
      <c r="AC39"/>
    </row>
    <row r="40" spans="2:29">
      <c r="U40" s="205"/>
      <c r="V40" s="207"/>
      <c r="W40" s="207"/>
      <c r="X40"/>
      <c r="Y40"/>
      <c r="Z40"/>
      <c r="AA40"/>
      <c r="AB40"/>
      <c r="AC40"/>
    </row>
    <row r="41" spans="2:29">
      <c r="U41" s="205"/>
      <c r="V41" s="207"/>
      <c r="W41" s="207"/>
      <c r="X41"/>
      <c r="Y41"/>
      <c r="Z41"/>
      <c r="AA41"/>
      <c r="AB41"/>
      <c r="AC41"/>
    </row>
    <row r="42" spans="2:29">
      <c r="U42" s="205"/>
      <c r="V42" s="207"/>
      <c r="W42" s="207"/>
      <c r="X42"/>
      <c r="Y42"/>
      <c r="Z42"/>
      <c r="AA42"/>
      <c r="AB42"/>
      <c r="AC42"/>
    </row>
    <row r="43" spans="2:29">
      <c r="U43" s="205"/>
      <c r="V43" s="207"/>
      <c r="W43" s="207"/>
      <c r="X43"/>
      <c r="Y43"/>
      <c r="Z43"/>
      <c r="AA43"/>
      <c r="AB43"/>
      <c r="AC43"/>
    </row>
    <row r="44" spans="2:29">
      <c r="U44" s="205"/>
      <c r="V44" s="207"/>
      <c r="W44" s="207"/>
      <c r="X44"/>
      <c r="Y44"/>
      <c r="Z44"/>
      <c r="AA44"/>
      <c r="AB44"/>
      <c r="AC44"/>
    </row>
    <row r="45" spans="2:29">
      <c r="U45" s="205"/>
      <c r="V45" s="207"/>
      <c r="W45" s="207"/>
      <c r="X45"/>
      <c r="Y45"/>
      <c r="Z45"/>
      <c r="AA45"/>
      <c r="AB45"/>
      <c r="AC45"/>
    </row>
    <row r="46" spans="2:29">
      <c r="U46" s="205"/>
      <c r="V46" s="207"/>
      <c r="W46" s="207"/>
      <c r="X46"/>
      <c r="Y46"/>
      <c r="Z46"/>
      <c r="AA46"/>
      <c r="AB46"/>
      <c r="AC46"/>
    </row>
    <row r="47" spans="2:29">
      <c r="U47" s="205"/>
      <c r="V47" s="207"/>
      <c r="W47" s="207"/>
      <c r="X47"/>
      <c r="Y47"/>
      <c r="Z47"/>
      <c r="AA47"/>
      <c r="AB47"/>
      <c r="AC47"/>
    </row>
    <row r="48" spans="2:29">
      <c r="U48" s="205"/>
      <c r="V48" s="207"/>
      <c r="W48" s="207"/>
      <c r="X48"/>
      <c r="Y48"/>
      <c r="Z48"/>
      <c r="AA48"/>
      <c r="AB48"/>
      <c r="AC48"/>
    </row>
    <row r="49" spans="21:29">
      <c r="U49" s="205"/>
      <c r="V49" s="207"/>
      <c r="W49" s="207"/>
      <c r="X49"/>
      <c r="Y49"/>
      <c r="Z49"/>
      <c r="AA49"/>
      <c r="AB49"/>
      <c r="AC49"/>
    </row>
    <row r="50" spans="21:29">
      <c r="U50" s="205"/>
      <c r="V50" s="207"/>
      <c r="W50" s="207"/>
      <c r="X50"/>
      <c r="Y50"/>
      <c r="Z50"/>
      <c r="AA50"/>
      <c r="AB50"/>
      <c r="AC50"/>
    </row>
    <row r="51" spans="21:29">
      <c r="U51" s="205"/>
      <c r="V51" s="207"/>
      <c r="W51" s="207"/>
      <c r="X51"/>
      <c r="Y51"/>
      <c r="Z51"/>
      <c r="AA51"/>
      <c r="AB51"/>
      <c r="AC51"/>
    </row>
    <row r="52" spans="21:29">
      <c r="U52" s="205"/>
      <c r="V52" s="207"/>
      <c r="W52" s="207"/>
      <c r="X52"/>
      <c r="Y52"/>
      <c r="Z52"/>
      <c r="AA52"/>
      <c r="AB52"/>
      <c r="AC52"/>
    </row>
    <row r="53" spans="21:29">
      <c r="U53" s="205"/>
      <c r="V53" s="207"/>
      <c r="W53" s="207"/>
      <c r="X53"/>
      <c r="Y53"/>
      <c r="Z53"/>
      <c r="AA53"/>
      <c r="AB53"/>
      <c r="AC53"/>
    </row>
    <row r="54" spans="21:29">
      <c r="U54" s="205"/>
      <c r="V54" s="207"/>
      <c r="W54" s="207"/>
      <c r="X54"/>
      <c r="Y54"/>
      <c r="Z54"/>
      <c r="AA54"/>
      <c r="AB54"/>
      <c r="AC54"/>
    </row>
    <row r="55" spans="21:29">
      <c r="U55" s="205"/>
      <c r="V55" s="207"/>
      <c r="W55" s="207"/>
      <c r="X55"/>
      <c r="Y55"/>
      <c r="Z55"/>
      <c r="AA55"/>
      <c r="AB55"/>
      <c r="AC55"/>
    </row>
    <row r="56" spans="21:29">
      <c r="U56" s="205"/>
      <c r="V56" s="207"/>
      <c r="W56" s="207"/>
      <c r="X56"/>
      <c r="Y56"/>
      <c r="Z56"/>
      <c r="AA56"/>
      <c r="AB56"/>
      <c r="AC56"/>
    </row>
    <row r="57" spans="21:29">
      <c r="U57" s="205"/>
      <c r="V57" s="207"/>
      <c r="W57" s="207"/>
      <c r="X57"/>
      <c r="Y57"/>
      <c r="Z57"/>
      <c r="AA57"/>
      <c r="AB57"/>
      <c r="AC57"/>
    </row>
    <row r="58" spans="21:29">
      <c r="U58" s="205"/>
      <c r="V58" s="207"/>
      <c r="W58" s="207"/>
      <c r="X58"/>
      <c r="Y58"/>
      <c r="Z58"/>
      <c r="AA58"/>
      <c r="AB58"/>
      <c r="AC58"/>
    </row>
    <row r="59" spans="21:29">
      <c r="U59" s="205"/>
      <c r="V59" s="207"/>
      <c r="W59" s="207"/>
      <c r="X59"/>
      <c r="Y59"/>
      <c r="Z59"/>
      <c r="AA59"/>
      <c r="AB59"/>
      <c r="AC59"/>
    </row>
    <row r="60" spans="21:29">
      <c r="U60" s="205"/>
      <c r="V60" s="207"/>
      <c r="W60" s="207"/>
      <c r="X60"/>
      <c r="Y60"/>
      <c r="Z60"/>
      <c r="AA60"/>
      <c r="AB60"/>
      <c r="AC60"/>
    </row>
    <row r="61" spans="21:29">
      <c r="U61" s="205"/>
      <c r="V61" s="207"/>
      <c r="W61" s="207"/>
      <c r="X61"/>
      <c r="Y61"/>
      <c r="Z61"/>
      <c r="AA61"/>
      <c r="AB61"/>
      <c r="AC61"/>
    </row>
    <row r="62" spans="21:29">
      <c r="U62" s="205"/>
      <c r="V62" s="207"/>
      <c r="W62" s="207"/>
      <c r="X62"/>
    </row>
  </sheetData>
  <mergeCells count="1">
    <mergeCell ref="Z9:AC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V92"/>
  <sheetViews>
    <sheetView workbookViewId="0">
      <selection activeCell="B2" sqref="B2"/>
    </sheetView>
  </sheetViews>
  <sheetFormatPr defaultRowHeight="14.4"/>
  <cols>
    <col min="1" max="1" width="36.109375" customWidth="1"/>
    <col min="2" max="2" width="31.44140625" customWidth="1"/>
    <col min="3" max="3" width="13.44140625" customWidth="1"/>
    <col min="4" max="4" width="12.6640625" customWidth="1"/>
    <col min="5" max="5" width="9.6640625" customWidth="1"/>
    <col min="6" max="6" width="10.5546875" customWidth="1"/>
    <col min="7" max="7" width="12.33203125" customWidth="1"/>
    <col min="8" max="10" width="10" customWidth="1"/>
    <col min="11" max="11" width="28" customWidth="1"/>
    <col min="12" max="14" width="10" customWidth="1"/>
    <col min="16" max="16" width="34.6640625" customWidth="1"/>
    <col min="17" max="17" width="39.6640625" customWidth="1"/>
    <col min="18" max="18" width="13.33203125" customWidth="1"/>
    <col min="19" max="19" width="12.6640625" customWidth="1"/>
    <col min="20" max="20" width="10.5546875" customWidth="1"/>
    <col min="21" max="21" width="12.109375" customWidth="1"/>
    <col min="22" max="22" width="10.44140625" customWidth="1"/>
  </cols>
  <sheetData>
    <row r="2" spans="2:8">
      <c r="B2" s="73" t="s">
        <v>523</v>
      </c>
    </row>
    <row r="3" spans="2:8">
      <c r="C3" t="s">
        <v>110</v>
      </c>
      <c r="D3">
        <f>'Cennik Produkcja '!D21</f>
        <v>550</v>
      </c>
      <c r="E3" t="s">
        <v>27</v>
      </c>
    </row>
    <row r="4" spans="2:8">
      <c r="C4" t="s">
        <v>111</v>
      </c>
      <c r="D4">
        <f>'Cennik Produkcja '!E21</f>
        <v>550</v>
      </c>
      <c r="E4" t="s">
        <v>27</v>
      </c>
    </row>
    <row r="5" spans="2:8">
      <c r="C5" t="s">
        <v>239</v>
      </c>
      <c r="D5">
        <f>D3+125</f>
        <v>675</v>
      </c>
      <c r="E5" t="s">
        <v>27</v>
      </c>
    </row>
    <row r="6" spans="2:8">
      <c r="C6" t="s">
        <v>240</v>
      </c>
      <c r="D6">
        <f>D4+125</f>
        <v>675</v>
      </c>
      <c r="E6" t="s">
        <v>27</v>
      </c>
    </row>
    <row r="7" spans="2:8">
      <c r="C7" t="s">
        <v>241</v>
      </c>
      <c r="D7">
        <f>'Cennik Produkcja '!E23</f>
        <v>800</v>
      </c>
      <c r="E7" t="s">
        <v>27</v>
      </c>
    </row>
    <row r="8" spans="2:8">
      <c r="C8" t="s">
        <v>242</v>
      </c>
      <c r="D8">
        <f>'Cennik Produkcja '!D23</f>
        <v>500</v>
      </c>
      <c r="E8" t="s">
        <v>27</v>
      </c>
    </row>
    <row r="11" spans="2:8">
      <c r="G11" s="2"/>
      <c r="H11" s="2"/>
    </row>
    <row r="12" spans="2:8">
      <c r="B12" t="s">
        <v>428</v>
      </c>
      <c r="C12" s="262">
        <f>((((D7-D8+50)*D3)*2)+(((D7-D8+50)*D4)*2))*4.8/1000000</f>
        <v>3.6960000000000002</v>
      </c>
      <c r="D12" s="263" t="s">
        <v>437</v>
      </c>
      <c r="E12" s="262">
        <f>IF(OR(D3&gt;1000,D4&gt;1000),0.0001,C12)</f>
        <v>3.6960000000000002</v>
      </c>
      <c r="F12" s="263" t="s">
        <v>17</v>
      </c>
      <c r="G12" s="2"/>
      <c r="H12" s="2"/>
    </row>
    <row r="13" spans="2:8">
      <c r="B13" t="s">
        <v>429</v>
      </c>
      <c r="C13" s="262">
        <f>((((D7-D8+50)*D3)*2)+(((D7-D8+50)*D4)*2))*6.4/1000000</f>
        <v>4.9279999999999999</v>
      </c>
      <c r="D13" s="263" t="s">
        <v>437</v>
      </c>
      <c r="E13" s="262">
        <f>IF(OR(D3&gt;1000,D4&gt;1000),C13,0.0001)</f>
        <v>1E-4</v>
      </c>
      <c r="F13" s="263" t="s">
        <v>17</v>
      </c>
      <c r="G13" s="2"/>
      <c r="H13" s="2"/>
    </row>
    <row r="14" spans="2:8">
      <c r="B14" t="s">
        <v>430</v>
      </c>
      <c r="C14" s="86">
        <f>(D5+15)*(D6+15)*6.4/1000000</f>
        <v>3.04704</v>
      </c>
      <c r="D14" t="s">
        <v>17</v>
      </c>
      <c r="G14" s="2"/>
      <c r="H14" s="2"/>
    </row>
    <row r="15" spans="2:8">
      <c r="B15" t="s">
        <v>431</v>
      </c>
      <c r="C15" s="86">
        <f>((D8*0.12)*4)*6.4/1000</f>
        <v>1.536</v>
      </c>
      <c r="D15" t="s">
        <v>17</v>
      </c>
      <c r="G15" s="2"/>
      <c r="H15" s="2"/>
    </row>
    <row r="16" spans="2:8">
      <c r="B16" t="s">
        <v>432</v>
      </c>
      <c r="C16" s="86">
        <f>((D8*0.15)*4)*6.4/1000</f>
        <v>1.92</v>
      </c>
      <c r="D16" t="s">
        <v>17</v>
      </c>
      <c r="G16" s="2"/>
      <c r="H16" s="2"/>
    </row>
    <row r="17" spans="1:14">
      <c r="B17" t="s">
        <v>433</v>
      </c>
      <c r="C17" s="86">
        <f>((D3*0.092)*2)*4.8/1000</f>
        <v>0.48575999999999997</v>
      </c>
      <c r="D17" t="s">
        <v>17</v>
      </c>
      <c r="G17" s="2"/>
      <c r="H17" s="2"/>
    </row>
    <row r="18" spans="1:14">
      <c r="B18" t="s">
        <v>434</v>
      </c>
      <c r="C18" s="86">
        <f>((D4*0.092)*2)*4.8/1000</f>
        <v>0.48575999999999997</v>
      </c>
      <c r="D18" t="s">
        <v>17</v>
      </c>
    </row>
    <row r="19" spans="1:14">
      <c r="B19" t="s">
        <v>435</v>
      </c>
      <c r="C19">
        <f>((D3*0.1)*2)*6.4/1000</f>
        <v>0.70399999999999996</v>
      </c>
      <c r="D19" t="s">
        <v>17</v>
      </c>
    </row>
    <row r="20" spans="1:14">
      <c r="B20" t="s">
        <v>436</v>
      </c>
      <c r="C20">
        <f>((D4*0.1)*2)*6.4/1000</f>
        <v>0.70399999999999996</v>
      </c>
      <c r="D20" t="s">
        <v>17</v>
      </c>
      <c r="G20" s="102"/>
      <c r="H20" s="102"/>
      <c r="L20" s="86"/>
    </row>
    <row r="21" spans="1:14">
      <c r="B21" t="s">
        <v>120</v>
      </c>
      <c r="C21" s="86">
        <f>(D3+D4+D3+D4)/1000</f>
        <v>2.2000000000000002</v>
      </c>
      <c r="D21" t="s">
        <v>2</v>
      </c>
      <c r="L21" s="86"/>
    </row>
    <row r="22" spans="1:14">
      <c r="B22" t="s">
        <v>144</v>
      </c>
      <c r="C22" s="86">
        <v>4</v>
      </c>
      <c r="D22" t="s">
        <v>64</v>
      </c>
      <c r="L22" s="86"/>
    </row>
    <row r="23" spans="1:14">
      <c r="B23" t="s">
        <v>243</v>
      </c>
      <c r="C23" s="86">
        <f>(((((D8/0.7)*D3)*2))+(((D8/0.7)*D4)*2))/100000</f>
        <v>15.714285714285715</v>
      </c>
      <c r="D23" t="s">
        <v>2</v>
      </c>
      <c r="L23" s="86"/>
    </row>
    <row r="24" spans="1:14">
      <c r="B24" t="s">
        <v>34</v>
      </c>
      <c r="C24" s="86">
        <f>(((D8*D3)*2)+((D8*D4)*2))/1000000</f>
        <v>1.1000000000000001</v>
      </c>
      <c r="D24" t="s">
        <v>19</v>
      </c>
      <c r="L24" s="86"/>
    </row>
    <row r="26" spans="1:14">
      <c r="A26" s="107" t="s">
        <v>100</v>
      </c>
      <c r="B26" s="106" t="s">
        <v>4</v>
      </c>
      <c r="C26" s="106" t="s">
        <v>5</v>
      </c>
      <c r="D26" s="106"/>
      <c r="E26" s="106" t="s">
        <v>244</v>
      </c>
      <c r="F26" s="106" t="s">
        <v>7</v>
      </c>
      <c r="K26" s="177" t="s">
        <v>45</v>
      </c>
      <c r="L26" s="54" t="s">
        <v>296</v>
      </c>
      <c r="M26" s="54" t="s">
        <v>110</v>
      </c>
      <c r="N26" s="54" t="s">
        <v>111</v>
      </c>
    </row>
    <row r="27" spans="1:14">
      <c r="A27" s="108" t="s">
        <v>176</v>
      </c>
      <c r="B27" s="109" t="s">
        <v>127</v>
      </c>
      <c r="C27" s="9">
        <f>E12+C17+C18</f>
        <v>4.6675200000000006</v>
      </c>
      <c r="D27" s="108" t="s">
        <v>17</v>
      </c>
      <c r="E27" s="196">
        <f>'Ceny składowe'!C6</f>
        <v>4.3</v>
      </c>
      <c r="F27" s="199">
        <f>E27*C27</f>
        <v>20.070336000000001</v>
      </c>
      <c r="K27" s="337">
        <v>2.5</v>
      </c>
      <c r="L27" s="196">
        <f>ROUND(F41*(1+K27),2)</f>
        <v>1101.5</v>
      </c>
      <c r="M27" s="196">
        <f>IF(D3&lt;=250,L27,0)</f>
        <v>0</v>
      </c>
      <c r="N27" s="196">
        <f>IF(D4&lt;=250,L27,0)</f>
        <v>0</v>
      </c>
    </row>
    <row r="28" spans="1:14">
      <c r="A28" t="s">
        <v>246</v>
      </c>
      <c r="B28" t="s">
        <v>257</v>
      </c>
      <c r="C28" s="86">
        <f>E13+C14+C15+C16+C19+C20</f>
        <v>7.9111399999999996</v>
      </c>
      <c r="D28" t="s">
        <v>17</v>
      </c>
      <c r="E28" s="196">
        <f>'Ceny składowe'!C7</f>
        <v>4.2</v>
      </c>
      <c r="F28" s="196">
        <f>E28*C28</f>
        <v>33.226787999999999</v>
      </c>
      <c r="K28" s="338">
        <v>2.2000000000000002</v>
      </c>
      <c r="L28" s="196">
        <f>ROUND(F41*(1+K28),2)</f>
        <v>1007.09</v>
      </c>
      <c r="M28" s="196">
        <f>IF(AND(D3&lt;=300,D3&gt;250),L28,0)</f>
        <v>0</v>
      </c>
      <c r="N28" s="196">
        <f>IF(AND(D4&lt;=300,D4&gt;250),L28,0)</f>
        <v>0</v>
      </c>
    </row>
    <row r="29" spans="1:14">
      <c r="A29" s="108" t="s">
        <v>98</v>
      </c>
      <c r="B29" s="110" t="s">
        <v>243</v>
      </c>
      <c r="C29" s="9">
        <f>C23*1.1</f>
        <v>17.285714285714288</v>
      </c>
      <c r="D29" s="108" t="s">
        <v>2</v>
      </c>
      <c r="E29" s="196">
        <f>'Ceny składowe'!C33</f>
        <v>7.29</v>
      </c>
      <c r="F29" s="199">
        <f t="shared" ref="F29:F34" si="0">E29*C29</f>
        <v>126.01285714285716</v>
      </c>
      <c r="K29" s="339">
        <v>1.9</v>
      </c>
      <c r="L29" s="196">
        <f>ROUND(F41*(1+K29),2)</f>
        <v>912.67</v>
      </c>
      <c r="M29" s="196">
        <f>IF(AND(D3&lt;=400,D3&gt;300),L29,0)</f>
        <v>0</v>
      </c>
      <c r="N29" s="196">
        <f>IF(AND(D4&lt;=400,D4&gt;300),L29,0)</f>
        <v>0</v>
      </c>
    </row>
    <row r="30" spans="1:14">
      <c r="A30" s="108" t="s">
        <v>149</v>
      </c>
      <c r="B30" s="108" t="s">
        <v>34</v>
      </c>
      <c r="C30" s="9">
        <f>C24*1.1</f>
        <v>1.2100000000000002</v>
      </c>
      <c r="D30" s="108" t="s">
        <v>2</v>
      </c>
      <c r="E30" s="196">
        <f>'Ceny składowe'!C42</f>
        <v>17.2</v>
      </c>
      <c r="F30" s="199">
        <f t="shared" si="0"/>
        <v>20.812000000000001</v>
      </c>
      <c r="K30" s="340">
        <v>1.68</v>
      </c>
      <c r="L30" s="196">
        <f>ROUND(F41*(1+K30),2)</f>
        <v>843.44</v>
      </c>
      <c r="M30" s="196">
        <f>IF(AND(D3&lt;=500,D3&gt;400),L30,0)</f>
        <v>0</v>
      </c>
      <c r="N30" s="196">
        <f>IF(AND(D4&lt;=500,D4&gt;400),L30,0)</f>
        <v>0</v>
      </c>
    </row>
    <row r="31" spans="1:14">
      <c r="A31" s="111" t="s">
        <v>337</v>
      </c>
      <c r="B31" s="112" t="s">
        <v>21</v>
      </c>
      <c r="C31" s="9">
        <f>IF(OR(D3&gt;1000,D4&gt;1000),0.0001,4)</f>
        <v>4</v>
      </c>
      <c r="D31" s="111" t="s">
        <v>64</v>
      </c>
      <c r="E31" s="196">
        <f>'Ceny składowe'!C20</f>
        <v>0.27</v>
      </c>
      <c r="F31" s="199">
        <f t="shared" si="0"/>
        <v>1.08</v>
      </c>
      <c r="K31" s="341">
        <v>1.48</v>
      </c>
      <c r="L31" s="196">
        <f>ROUND(F41*(1+K31),2)</f>
        <v>780.49</v>
      </c>
      <c r="M31" s="196">
        <f>IF(AND(D3&lt;=600,D3&gt;500),L31,0)</f>
        <v>780.49</v>
      </c>
      <c r="N31" s="196">
        <f>IF(AND(D4&lt;=600,D4&gt;500),L31,0)</f>
        <v>780.49</v>
      </c>
    </row>
    <row r="32" spans="1:14">
      <c r="A32" s="111" t="s">
        <v>334</v>
      </c>
      <c r="B32" s="112" t="s">
        <v>20</v>
      </c>
      <c r="C32" s="9">
        <f>IF(OR(D3&gt;1000,D4&gt;1000),0.0001,C21)</f>
        <v>2.2000000000000002</v>
      </c>
      <c r="D32" s="111" t="s">
        <v>2</v>
      </c>
      <c r="E32" s="196">
        <f>'Ceny składowe'!C34</f>
        <v>1.89</v>
      </c>
      <c r="F32" s="199">
        <f t="shared" si="0"/>
        <v>4.1580000000000004</v>
      </c>
      <c r="K32" s="342">
        <v>1.33</v>
      </c>
      <c r="L32" s="196">
        <f>ROUND(F41*(1+K32),2)</f>
        <v>733.29</v>
      </c>
      <c r="M32" s="196">
        <f>IF(AND(D3&lt;=700,D3&gt;600),L32,0)</f>
        <v>0</v>
      </c>
      <c r="N32" s="196">
        <f>IF(AND(D4&lt;=700,D4&gt;600),L32,0)</f>
        <v>0</v>
      </c>
    </row>
    <row r="33" spans="1:14">
      <c r="A33" s="111" t="s">
        <v>406</v>
      </c>
      <c r="B33" s="112" t="s">
        <v>20</v>
      </c>
      <c r="C33" s="9">
        <f>IF(OR(D3&gt;1000,D4&gt;1000),C21,0.0001)</f>
        <v>1E-4</v>
      </c>
      <c r="D33" s="111" t="s">
        <v>2</v>
      </c>
      <c r="E33" s="196">
        <f>'Ceny składowe'!C36</f>
        <v>2.92</v>
      </c>
      <c r="F33" s="199">
        <f t="shared" si="0"/>
        <v>2.92E-4</v>
      </c>
      <c r="K33" s="343">
        <v>1.25</v>
      </c>
      <c r="L33" s="196">
        <f>ROUND(F41*(1+K33),2)</f>
        <v>708.11</v>
      </c>
      <c r="M33" s="196">
        <f>IF(AND(D3&lt;=800,D3&gt;700),L33,0)</f>
        <v>0</v>
      </c>
      <c r="N33" s="196">
        <f>IF(AND(D4&lt;=800,D4&gt;700),L33,0)</f>
        <v>0</v>
      </c>
    </row>
    <row r="34" spans="1:14">
      <c r="A34" s="108" t="s">
        <v>336</v>
      </c>
      <c r="B34" s="112" t="s">
        <v>21</v>
      </c>
      <c r="C34" s="9">
        <f>IF(OR(D3&gt;1000,D4&gt;1000),4,0.0001)</f>
        <v>1E-4</v>
      </c>
      <c r="D34" s="111" t="s">
        <v>64</v>
      </c>
      <c r="E34" s="196">
        <f>'Ceny składowe'!C22</f>
        <v>0.75</v>
      </c>
      <c r="F34" s="199">
        <f t="shared" si="0"/>
        <v>7.5000000000000007E-5</v>
      </c>
      <c r="K34" s="344">
        <v>1.02</v>
      </c>
      <c r="L34" s="196">
        <f>ROUND(F41*(1+K34),2)</f>
        <v>635.72</v>
      </c>
      <c r="M34" s="196">
        <f>IF(AND(D3&lt;=900,D3&gt;800),L34,0)</f>
        <v>0</v>
      </c>
      <c r="N34" s="196">
        <f>IF(AND(D4&lt;=900,D4&gt;800),L34,0)</f>
        <v>0</v>
      </c>
    </row>
    <row r="35" spans="1:14">
      <c r="A35" s="108" t="s">
        <v>953</v>
      </c>
      <c r="B35" s="112" t="s">
        <v>426</v>
      </c>
      <c r="C35" s="9">
        <f>((D8/7)*4)*4/10000</f>
        <v>0.11428571428571428</v>
      </c>
      <c r="D35" s="111" t="s">
        <v>424</v>
      </c>
      <c r="E35" s="196">
        <f>'Ceny składowe'!C63</f>
        <v>38.1</v>
      </c>
      <c r="F35" s="199">
        <f>E35*C35</f>
        <v>4.3542857142857141</v>
      </c>
      <c r="K35" s="345">
        <v>1.07</v>
      </c>
      <c r="L35" s="196">
        <f>ROUND(F41*(1+K35),2)</f>
        <v>651.46</v>
      </c>
      <c r="M35" s="196">
        <f>IF(AND(D3&lt;=1000,D3&gt;900),L35,0)</f>
        <v>0</v>
      </c>
      <c r="N35" s="196">
        <f>IF(AND(D4&lt;=1000,D4&gt;900),L35,0)</f>
        <v>0</v>
      </c>
    </row>
    <row r="36" spans="1:14">
      <c r="A36" s="99"/>
      <c r="B36" s="99"/>
      <c r="C36" s="105"/>
      <c r="D36" s="99"/>
      <c r="F36" s="2"/>
      <c r="K36" s="346">
        <v>0.88</v>
      </c>
      <c r="L36" s="196">
        <f>ROUND(F41*(1+K36),2)</f>
        <v>591.66</v>
      </c>
      <c r="M36" s="196">
        <f>IF(AND(D3&lt;=1100,D3&gt;1000),L36,0)</f>
        <v>0</v>
      </c>
      <c r="N36" s="196">
        <f>IF(AND(D4&lt;=1100,D4&gt;1000),L36,0)</f>
        <v>0</v>
      </c>
    </row>
    <row r="37" spans="1:14">
      <c r="A37" s="99"/>
      <c r="B37" s="99"/>
      <c r="C37" s="105"/>
      <c r="D37" s="99"/>
      <c r="E37" t="s">
        <v>403</v>
      </c>
      <c r="F37" s="258">
        <f>SUM(F27:F35)</f>
        <v>209.7146338571429</v>
      </c>
      <c r="K37" s="347">
        <v>0.84</v>
      </c>
      <c r="L37" s="196">
        <f>ROUND(F41*(1+K37),2)</f>
        <v>579.07000000000005</v>
      </c>
      <c r="M37" s="196">
        <f>IF(AND(D3&lt;=1200,D3&gt;1100),L37,0)</f>
        <v>0</v>
      </c>
      <c r="N37" s="196">
        <f>IF(AND(D4&lt;=1200,D4&gt;1100),L37,0)</f>
        <v>0</v>
      </c>
    </row>
    <row r="38" spans="1:14">
      <c r="A38" s="99"/>
      <c r="B38" s="99"/>
      <c r="C38" s="105"/>
      <c r="D38" s="99"/>
      <c r="E38" t="s">
        <v>404</v>
      </c>
      <c r="F38" s="259">
        <f>N45*(1-10%)</f>
        <v>702.44100000000003</v>
      </c>
      <c r="K38" s="348">
        <v>0.82</v>
      </c>
      <c r="L38" s="196">
        <f>ROUND(F41*(1+K38),2)</f>
        <v>572.78</v>
      </c>
      <c r="M38" s="196">
        <f>IF(AND(D3&lt;=1300,D3&gt;1200),L38,0)</f>
        <v>0</v>
      </c>
      <c r="N38" s="196">
        <f>IF(AND(D4&lt;=1300,D4&gt;1200),L38,0)</f>
        <v>0</v>
      </c>
    </row>
    <row r="39" spans="1:14">
      <c r="A39" s="99"/>
      <c r="B39" s="99"/>
      <c r="C39" s="99"/>
      <c r="D39" s="99"/>
      <c r="K39" s="349">
        <v>0.79</v>
      </c>
      <c r="L39" s="196">
        <f>ROUND(F41*(1+K39),2)</f>
        <v>563.34</v>
      </c>
      <c r="M39" s="196">
        <f>IF(AND(D3&lt;=1400,D3&gt;1300),L39,0)</f>
        <v>0</v>
      </c>
      <c r="N39" s="196">
        <f>IF(AND(D4&lt;=1400,D4&gt;1300),L39,0)</f>
        <v>0</v>
      </c>
    </row>
    <row r="40" spans="1:14">
      <c r="B40" s="236" t="s">
        <v>411</v>
      </c>
      <c r="C40" s="237">
        <f>IF(AND(D3&lt;=300,D4&gt;=100),90,IF(AND(D3&lt;=500,D4&gt;=300),120,IF(AND(D3&lt;=500,D4&lt;300),105,IF(AND(D3&lt;=700,D4&gt;=500),150,IF(AND(D3&lt;=700,D4&lt;500),135,IF(AND(D3&lt;=900,D4&gt;=700),180,IF(AND(D3&lt;=900,D4&lt;700),165,IF(AND(D3&lt;=1100,D4&gt;=900),210,IF(AND(D3&lt;=1100,D4&lt;900),195,IF(AND(D3&lt;=1300,D4&gt;=1100),240,IF(AND(D3&lt;=1300,D4&lt;1100),225,IF(AND(D3&lt;=1500,D4&gt;=1300),270,IF(AND(D3&lt;=1500,D4&lt;1300),255,IF(AND(D3&lt;=1700,D4&gt;=1500),300,IF(AND(D3&lt;=1700,D4&lt;1500),285,IF(AND(D3&lt;=1900,D4&gt;=1700),330,IF(AND(D3&lt;=1900,D4&lt;1700),315,IF(AND(D3&lt;=2100,D4&gt;=1900),360,IF(AND(D3&lt;=2100,D4&lt;1900),345,IF(AND(D3&lt;=2300,D4&gt;=2100),390,IF(AND(D3&lt;=2300,D4&lt;2100),375,IF(AND(D3&lt;=2500,D4&gt;=2300),420,IF(AND(D3&lt;=2500,D4&lt;2300),405,IF(AND(D3&lt;=2700,D4&gt;=2500),450,IF(AND(D3&lt;=2700,D4&lt;2500),435,IF(AND(D3&lt;=2900,D4&gt;=2700),480,IF(AND(D3&lt;=2900,D4&lt;2700),465,IF(AND(D3&lt;=3100,D4&gt;=2900),510,IF(AND(D3&lt;=3100,D4&lt;2900),495,IF(AND(D3&lt;=3300,D4&gt;=3100),540,IF(AND(D3&lt;=3300,D4&lt;3100),525,IF(AND(D3&lt;=3500,D4&gt;=3300),570,IF(AND(D3&lt;=3500,D4&lt;3300),555,IF(AND(D3&lt;=3700,D4&gt;=3500),600,IF(AND(D3&lt;=3700,D4&lt;3500),585)))))))))))))))))))))))))))))))))))</f>
        <v>150</v>
      </c>
      <c r="D40" s="237" t="s">
        <v>412</v>
      </c>
      <c r="E40" s="239">
        <f>'Ceny składowe'!C94</f>
        <v>0.7</v>
      </c>
      <c r="F40" s="238">
        <f>C40*E40</f>
        <v>105</v>
      </c>
      <c r="K40" s="350">
        <v>0.76</v>
      </c>
      <c r="L40" s="196">
        <f>ROUND(F41*(1+K40),2)</f>
        <v>553.9</v>
      </c>
      <c r="M40" s="196">
        <f>IF(AND(D3&lt;=1500,D3&gt;1400),L40,0)</f>
        <v>0</v>
      </c>
      <c r="N40" s="196">
        <f>IF(AND(D4&lt;=1500,D4&gt;1400),L40,0)</f>
        <v>0</v>
      </c>
    </row>
    <row r="41" spans="1:14">
      <c r="B41" s="159"/>
      <c r="C41" s="74"/>
      <c r="D41" s="260" t="s">
        <v>418</v>
      </c>
      <c r="E41" s="237" t="s">
        <v>427</v>
      </c>
      <c r="F41" s="240">
        <f>F37+F40</f>
        <v>314.71463385714287</v>
      </c>
      <c r="K41" s="351">
        <v>0.74</v>
      </c>
      <c r="L41" s="196">
        <f>ROUND(F41*(1+K41),2)</f>
        <v>547.6</v>
      </c>
      <c r="M41" s="196">
        <f>IF(D3&gt;1500,L41,0)</f>
        <v>0</v>
      </c>
      <c r="N41" s="196">
        <f>IF(D4&gt;1500,M41,0)</f>
        <v>0</v>
      </c>
    </row>
    <row r="43" spans="1:14">
      <c r="E43" s="129" t="s">
        <v>294</v>
      </c>
      <c r="F43" s="295">
        <f>(F38-F41)/F41</f>
        <v>1.2319934455887305</v>
      </c>
      <c r="M43" s="196">
        <f>SUM(M27:M41)</f>
        <v>780.49</v>
      </c>
      <c r="N43" s="196">
        <f>SUM(N27:N41)</f>
        <v>780.49</v>
      </c>
    </row>
    <row r="44" spans="1:14">
      <c r="E44" s="129"/>
      <c r="F44" s="295"/>
      <c r="N44" s="1" t="s">
        <v>619</v>
      </c>
    </row>
    <row r="45" spans="1:14">
      <c r="E45" s="129"/>
      <c r="F45" s="295"/>
      <c r="N45" s="352">
        <f>AVERAGE(M43,N43)</f>
        <v>780.49</v>
      </c>
    </row>
    <row r="46" spans="1:14">
      <c r="E46" s="129"/>
      <c r="F46" s="295"/>
    </row>
    <row r="49" spans="1:22">
      <c r="B49" s="54" t="s">
        <v>530</v>
      </c>
      <c r="Q49" s="54" t="s">
        <v>531</v>
      </c>
    </row>
    <row r="50" spans="1:22">
      <c r="C50" t="s">
        <v>110</v>
      </c>
      <c r="D50">
        <f>'Cennik Produkcja '!D28</f>
        <v>500</v>
      </c>
      <c r="E50" t="s">
        <v>27</v>
      </c>
      <c r="R50" t="s">
        <v>110</v>
      </c>
      <c r="S50">
        <f>'Cennik Produkcja '!D35</f>
        <v>500</v>
      </c>
      <c r="T50" t="s">
        <v>27</v>
      </c>
    </row>
    <row r="51" spans="1:22">
      <c r="C51" t="s">
        <v>111</v>
      </c>
      <c r="D51">
        <f>'Cennik Produkcja '!E28</f>
        <v>500</v>
      </c>
      <c r="E51" t="s">
        <v>27</v>
      </c>
      <c r="R51" t="s">
        <v>111</v>
      </c>
      <c r="S51">
        <f>'Cennik Produkcja '!E35</f>
        <v>500</v>
      </c>
      <c r="T51" t="s">
        <v>27</v>
      </c>
    </row>
    <row r="52" spans="1:22">
      <c r="C52" t="s">
        <v>239</v>
      </c>
      <c r="D52">
        <f>D50+125</f>
        <v>625</v>
      </c>
      <c r="E52" t="s">
        <v>27</v>
      </c>
      <c r="R52" t="s">
        <v>239</v>
      </c>
      <c r="S52">
        <f>S50+125</f>
        <v>625</v>
      </c>
      <c r="T52" t="s">
        <v>27</v>
      </c>
    </row>
    <row r="53" spans="1:22">
      <c r="C53" t="s">
        <v>240</v>
      </c>
      <c r="D53">
        <f>D51+125</f>
        <v>625</v>
      </c>
      <c r="E53" t="s">
        <v>27</v>
      </c>
      <c r="R53" t="s">
        <v>240</v>
      </c>
      <c r="S53">
        <f>S51+125</f>
        <v>625</v>
      </c>
      <c r="T53" t="s">
        <v>27</v>
      </c>
    </row>
    <row r="54" spans="1:22">
      <c r="C54" t="s">
        <v>525</v>
      </c>
      <c r="D54">
        <f>'Cennik Produkcja '!D30</f>
        <v>300</v>
      </c>
      <c r="E54" t="s">
        <v>27</v>
      </c>
      <c r="G54" t="s">
        <v>527</v>
      </c>
      <c r="R54" t="s">
        <v>525</v>
      </c>
      <c r="S54">
        <f>'Cennik Produkcja '!D37</f>
        <v>300</v>
      </c>
      <c r="T54" t="s">
        <v>27</v>
      </c>
      <c r="V54" t="s">
        <v>527</v>
      </c>
    </row>
    <row r="55" spans="1:22">
      <c r="A55" s="76">
        <f>IF(AND(D50&lt;D51,D51&gt;D50),D50,D51)</f>
        <v>500</v>
      </c>
      <c r="B55" s="304">
        <f>A55/70</f>
        <v>7.1428571428571432</v>
      </c>
      <c r="C55" t="s">
        <v>526</v>
      </c>
      <c r="D55" s="90">
        <f>((ROUND(B55,0.1))*70)</f>
        <v>490</v>
      </c>
      <c r="E55" t="s">
        <v>27</v>
      </c>
      <c r="F55" s="278">
        <f>IF(A55&lt;=300,D55+70,IF(A55&lt;=1000,D55,IF(A55&gt;1000,D55-70,IF(A55&gt;=400,D55))))</f>
        <v>490</v>
      </c>
      <c r="G55" s="307">
        <f>F55/70</f>
        <v>7</v>
      </c>
      <c r="Q55" s="309">
        <f>S50*S51/1000000</f>
        <v>0.25</v>
      </c>
      <c r="R55" t="s">
        <v>526</v>
      </c>
      <c r="S55" s="90">
        <f>U55</f>
        <v>350</v>
      </c>
      <c r="T55" t="s">
        <v>27</v>
      </c>
      <c r="U55" s="309">
        <f>V55*70</f>
        <v>350</v>
      </c>
      <c r="V55" s="310">
        <f>IF(Q55&lt;0.099,3,IF(Q55&lt;0.25,4,IF(Q55&lt;0.33,5,IF(Q55&lt;0.45,6,IF(Q55&lt;0.599,7,IF(Q55&lt;0.799,8,IF(Q55&lt;=1,9,IF(Q55&lt;1.199,10,IF(Q55&lt;1.399,11,IF(Q55&lt;1.599,12,IF(Q55&lt;1.799,13,IF(Q55&lt;1.999,14,IF(Q55&lt;2.3,15,IF(Q55&lt;2.6,16,IF(Q55&lt;3.2,17)))))))))))))))</f>
        <v>5</v>
      </c>
    </row>
    <row r="56" spans="1:22">
      <c r="C56" t="s">
        <v>241</v>
      </c>
      <c r="D56" s="90">
        <f>D54+F55</f>
        <v>790</v>
      </c>
      <c r="E56" t="s">
        <v>27</v>
      </c>
      <c r="R56" t="s">
        <v>241</v>
      </c>
      <c r="S56" s="90">
        <f>S54+U55</f>
        <v>650</v>
      </c>
      <c r="T56" t="s">
        <v>27</v>
      </c>
    </row>
    <row r="58" spans="1:22">
      <c r="G58" s="2"/>
      <c r="H58" s="2"/>
      <c r="V58" s="2"/>
    </row>
    <row r="59" spans="1:22">
      <c r="B59" t="s">
        <v>428</v>
      </c>
      <c r="C59" s="262">
        <f>((((D56-F55+50)*D50)*2)+(((D56-F55+50)*D51)*2))*4.8/1000000</f>
        <v>3.36</v>
      </c>
      <c r="D59" s="263" t="s">
        <v>437</v>
      </c>
      <c r="E59" s="262">
        <f>IF(OR(D50&gt;1000,D51&gt;1000),0.0001,C59)</f>
        <v>3.36</v>
      </c>
      <c r="F59" s="263" t="s">
        <v>17</v>
      </c>
      <c r="G59" s="2"/>
      <c r="H59" s="2"/>
      <c r="Q59" t="s">
        <v>428</v>
      </c>
      <c r="R59" s="262">
        <f>((((S56-U55+50)*S50)*2)+(((S56-U55+50)*S51)*2))*4.8/1000000</f>
        <v>3.36</v>
      </c>
      <c r="S59" s="263" t="s">
        <v>437</v>
      </c>
      <c r="T59" s="262">
        <f>IF(OR(S50&gt;1000,S51&gt;1000),0.0001,R59)</f>
        <v>3.36</v>
      </c>
      <c r="U59" s="263" t="s">
        <v>17</v>
      </c>
      <c r="V59" s="2"/>
    </row>
    <row r="60" spans="1:22">
      <c r="B60" t="s">
        <v>429</v>
      </c>
      <c r="C60" s="262">
        <f>((((D56-F55+50)*D50)*2)+(((D56-F55+50)*D51)*2))*6.4/1000000</f>
        <v>4.4800000000000004</v>
      </c>
      <c r="D60" s="263" t="s">
        <v>437</v>
      </c>
      <c r="E60" s="262">
        <f>IF(OR(D50&gt;1000,D51&gt;1000),C60,0.0001)</f>
        <v>1E-4</v>
      </c>
      <c r="F60" s="263" t="s">
        <v>17</v>
      </c>
      <c r="G60" s="2"/>
      <c r="H60" s="2"/>
      <c r="Q60" t="s">
        <v>429</v>
      </c>
      <c r="R60" s="262">
        <f>((((S56-U55+50)*S50)*2)+(((S56-U55+50)*S51)*2))*6.4/1000000</f>
        <v>4.4800000000000004</v>
      </c>
      <c r="S60" s="263" t="s">
        <v>437</v>
      </c>
      <c r="T60" s="262">
        <f>IF(OR(S50&gt;1000,S51&gt;1000),R60,0.0001)</f>
        <v>1E-4</v>
      </c>
      <c r="U60" s="263" t="s">
        <v>17</v>
      </c>
      <c r="V60" s="2"/>
    </row>
    <row r="61" spans="1:22">
      <c r="B61" t="s">
        <v>430</v>
      </c>
      <c r="C61" s="86">
        <f>(D52+15)*(D53+15)*6.4/1000000</f>
        <v>2.6214400000000002</v>
      </c>
      <c r="D61" t="s">
        <v>17</v>
      </c>
      <c r="G61" s="2"/>
      <c r="H61" s="2"/>
      <c r="Q61" t="s">
        <v>430</v>
      </c>
      <c r="R61" s="86">
        <f>(S52+15)*(S53+15)*6.4/1000000</f>
        <v>2.6214400000000002</v>
      </c>
      <c r="S61" t="s">
        <v>17</v>
      </c>
      <c r="V61" s="2"/>
    </row>
    <row r="62" spans="1:22">
      <c r="B62" t="s">
        <v>431</v>
      </c>
      <c r="C62" s="86">
        <f>((F55*0.12)*4)*6.4/1000</f>
        <v>1.50528</v>
      </c>
      <c r="D62" t="s">
        <v>17</v>
      </c>
      <c r="G62" s="2"/>
      <c r="H62" s="2"/>
      <c r="Q62" t="s">
        <v>431</v>
      </c>
      <c r="R62" s="86">
        <f>((U55*0.12)*4)*6.4/1000</f>
        <v>1.0752000000000002</v>
      </c>
      <c r="S62" t="s">
        <v>17</v>
      </c>
      <c r="V62" s="2"/>
    </row>
    <row r="63" spans="1:22">
      <c r="B63" t="s">
        <v>432</v>
      </c>
      <c r="C63" s="86">
        <f>((F55*0.15)*4)*6.4/1000</f>
        <v>1.8816000000000002</v>
      </c>
      <c r="D63" t="s">
        <v>17</v>
      </c>
      <c r="G63" s="2"/>
      <c r="H63" s="2"/>
      <c r="Q63" t="s">
        <v>432</v>
      </c>
      <c r="R63" s="86">
        <f>((U55*0.15)*4)*6.4/1000</f>
        <v>1.3440000000000001</v>
      </c>
      <c r="S63" t="s">
        <v>17</v>
      </c>
      <c r="V63" s="2"/>
    </row>
    <row r="64" spans="1:22">
      <c r="B64" t="s">
        <v>433</v>
      </c>
      <c r="C64" s="86">
        <f>((D50*0.092)*2)*4.8/1000</f>
        <v>0.44159999999999999</v>
      </c>
      <c r="D64" t="s">
        <v>17</v>
      </c>
      <c r="G64" s="2"/>
      <c r="H64" s="2"/>
      <c r="Q64" t="s">
        <v>433</v>
      </c>
      <c r="R64" s="86">
        <f>((S50*0.092)*2)*4.8/1000</f>
        <v>0.44159999999999999</v>
      </c>
      <c r="S64" t="s">
        <v>17</v>
      </c>
      <c r="V64" s="2"/>
    </row>
    <row r="65" spans="1:22">
      <c r="B65" t="s">
        <v>434</v>
      </c>
      <c r="C65" s="86">
        <f>((D51*0.092)*2)*4.8/1000</f>
        <v>0.44159999999999999</v>
      </c>
      <c r="D65" t="s">
        <v>17</v>
      </c>
      <c r="Q65" t="s">
        <v>434</v>
      </c>
      <c r="R65" s="86">
        <f>((S51*0.092)*2)*4.8/1000</f>
        <v>0.44159999999999999</v>
      </c>
      <c r="S65" t="s">
        <v>17</v>
      </c>
    </row>
    <row r="66" spans="1:22">
      <c r="B66" t="s">
        <v>435</v>
      </c>
      <c r="C66">
        <f>((D50*0.1)*2)*6.4/1000</f>
        <v>0.64</v>
      </c>
      <c r="D66" t="s">
        <v>17</v>
      </c>
      <c r="Q66" t="s">
        <v>435</v>
      </c>
      <c r="R66">
        <f>((S50*0.1)*2)*6.4/1000</f>
        <v>0.64</v>
      </c>
      <c r="S66" t="s">
        <v>17</v>
      </c>
    </row>
    <row r="67" spans="1:22">
      <c r="B67" t="s">
        <v>436</v>
      </c>
      <c r="C67">
        <f>((D51*0.1)*2)*6.4/1000</f>
        <v>0.64</v>
      </c>
      <c r="D67" t="s">
        <v>17</v>
      </c>
      <c r="G67" s="102"/>
      <c r="H67" s="102"/>
      <c r="Q67" t="s">
        <v>436</v>
      </c>
      <c r="R67">
        <f>((S51*0.1)*2)*6.4/1000</f>
        <v>0.64</v>
      </c>
      <c r="S67" t="s">
        <v>17</v>
      </c>
      <c r="V67" s="102"/>
    </row>
    <row r="68" spans="1:22">
      <c r="B68" t="s">
        <v>120</v>
      </c>
      <c r="C68" s="86">
        <f>(D50+D51+D50+D51)/1000</f>
        <v>2</v>
      </c>
      <c r="D68" t="s">
        <v>2</v>
      </c>
      <c r="Q68" t="s">
        <v>120</v>
      </c>
      <c r="R68" s="86">
        <f>(S50+S51+S50+S51)/1000</f>
        <v>2</v>
      </c>
      <c r="S68" t="s">
        <v>2</v>
      </c>
    </row>
    <row r="69" spans="1:22">
      <c r="B69" t="s">
        <v>144</v>
      </c>
      <c r="C69" s="86">
        <v>4</v>
      </c>
      <c r="D69" t="s">
        <v>64</v>
      </c>
      <c r="Q69" t="s">
        <v>144</v>
      </c>
      <c r="R69" s="86">
        <v>4</v>
      </c>
      <c r="S69" t="s">
        <v>64</v>
      </c>
    </row>
    <row r="70" spans="1:22">
      <c r="B70" t="s">
        <v>243</v>
      </c>
      <c r="C70" s="86">
        <f>(((((F55/0.7)*D50)*2))+(((F55/0.7)*D51)*2))/100000</f>
        <v>14</v>
      </c>
      <c r="D70" t="s">
        <v>2</v>
      </c>
      <c r="Q70" t="s">
        <v>243</v>
      </c>
      <c r="R70" s="86">
        <f>(((((U55/0.7)*S50)*2))+(((U55/0.7)*S51)*2))/100000</f>
        <v>10.000000000000002</v>
      </c>
      <c r="S70" t="s">
        <v>2</v>
      </c>
    </row>
    <row r="71" spans="1:22">
      <c r="B71" t="s">
        <v>34</v>
      </c>
      <c r="C71" s="86">
        <f>(((F55*D50)*2)+((F55*D51)*2))/1000000</f>
        <v>0.98</v>
      </c>
      <c r="D71" t="s">
        <v>19</v>
      </c>
      <c r="Q71" t="s">
        <v>34</v>
      </c>
      <c r="R71" s="86">
        <f>(((U55*S50)*2)+((U55*S51)*2))/1000000</f>
        <v>0.7</v>
      </c>
      <c r="S71" t="s">
        <v>19</v>
      </c>
    </row>
    <row r="73" spans="1:22">
      <c r="A73" s="107" t="s">
        <v>100</v>
      </c>
      <c r="B73" s="106" t="s">
        <v>4</v>
      </c>
      <c r="C73" s="106" t="s">
        <v>5</v>
      </c>
      <c r="D73" s="106"/>
      <c r="E73" s="106" t="s">
        <v>244</v>
      </c>
      <c r="F73" s="106" t="s">
        <v>7</v>
      </c>
      <c r="H73" s="54" t="s">
        <v>110</v>
      </c>
      <c r="I73" s="54" t="s">
        <v>111</v>
      </c>
      <c r="J73" s="54" t="s">
        <v>616</v>
      </c>
      <c r="K73" s="177" t="s">
        <v>45</v>
      </c>
      <c r="L73" s="54" t="s">
        <v>615</v>
      </c>
      <c r="M73" s="54" t="s">
        <v>110</v>
      </c>
      <c r="N73" s="54" t="s">
        <v>111</v>
      </c>
      <c r="P73" s="107" t="s">
        <v>100</v>
      </c>
      <c r="Q73" s="106" t="s">
        <v>4</v>
      </c>
      <c r="R73" s="106" t="s">
        <v>5</v>
      </c>
      <c r="S73" s="106"/>
      <c r="T73" s="106" t="s">
        <v>244</v>
      </c>
      <c r="U73" s="106" t="s">
        <v>7</v>
      </c>
    </row>
    <row r="74" spans="1:22">
      <c r="A74" s="108" t="s">
        <v>176</v>
      </c>
      <c r="B74" s="109" t="s">
        <v>127</v>
      </c>
      <c r="C74" s="9">
        <f>E59+C64+C65</f>
        <v>4.2431999999999999</v>
      </c>
      <c r="D74" s="108" t="s">
        <v>17</v>
      </c>
      <c r="E74" s="196">
        <f>'Ceny składowe'!C6</f>
        <v>4.3</v>
      </c>
      <c r="F74" s="199">
        <f>E74*C74</f>
        <v>18.245759999999997</v>
      </c>
      <c r="H74" s="336">
        <f>IF(D50&lt;=250,J74,0)</f>
        <v>0</v>
      </c>
      <c r="I74" s="336">
        <f>IF(D51&lt;=250,J74,0)</f>
        <v>0</v>
      </c>
      <c r="J74" s="336">
        <f>ROUND(F88*(1+K74),2)</f>
        <v>954.77</v>
      </c>
      <c r="K74" s="337">
        <v>2.5</v>
      </c>
      <c r="L74" s="196">
        <f>ROUND(U88*(1+K74),2)</f>
        <v>805.47</v>
      </c>
      <c r="M74" s="196">
        <f>IF(S50&lt;=250,L74,0)</f>
        <v>0</v>
      </c>
      <c r="N74" s="196">
        <f>IF(S51&lt;=250,L74,0)</f>
        <v>0</v>
      </c>
      <c r="P74" s="108" t="s">
        <v>176</v>
      </c>
      <c r="Q74" s="109" t="s">
        <v>127</v>
      </c>
      <c r="R74" s="9">
        <f>T59+R64+R65</f>
        <v>4.2431999999999999</v>
      </c>
      <c r="S74" s="108" t="s">
        <v>17</v>
      </c>
      <c r="T74" s="196">
        <f>'Ceny składowe'!C6</f>
        <v>4.3</v>
      </c>
      <c r="U74" s="199">
        <f>T74*R74</f>
        <v>18.245759999999997</v>
      </c>
    </row>
    <row r="75" spans="1:22">
      <c r="A75" t="s">
        <v>246</v>
      </c>
      <c r="B75" t="s">
        <v>257</v>
      </c>
      <c r="C75" s="86">
        <f>E60+C61+C62+C63+C66+C67</f>
        <v>7.2884200000000003</v>
      </c>
      <c r="D75" t="s">
        <v>17</v>
      </c>
      <c r="E75" s="196">
        <f>'Ceny składowe'!C7</f>
        <v>4.2</v>
      </c>
      <c r="F75" s="196">
        <f>E75*C75</f>
        <v>30.611364000000002</v>
      </c>
      <c r="H75" s="336">
        <f>IF(AND(D50&lt;=300,D50&gt;250),J75,0)</f>
        <v>0</v>
      </c>
      <c r="I75" s="336">
        <f>IF(AND(D51&lt;=300,D51&gt;250),J75,0)</f>
        <v>0</v>
      </c>
      <c r="J75" s="336">
        <f>ROUND(F88*(1+K75),2)</f>
        <v>872.94</v>
      </c>
      <c r="K75" s="338">
        <v>2.2000000000000002</v>
      </c>
      <c r="L75" s="196">
        <f>ROUND(U88*(1+K75),2)</f>
        <v>736.43</v>
      </c>
      <c r="M75" s="196">
        <f>IF(AND(S50&lt;=300,S50&gt;250),L75,0)</f>
        <v>0</v>
      </c>
      <c r="N75" s="196">
        <f>IF(AND(S51&lt;=300,S51&gt;250),L75,0)</f>
        <v>0</v>
      </c>
      <c r="P75" t="s">
        <v>246</v>
      </c>
      <c r="Q75" t="s">
        <v>257</v>
      </c>
      <c r="R75" s="86">
        <f>T60+R61+R62+R63+R66+R67</f>
        <v>6.3207399999999998</v>
      </c>
      <c r="S75" t="s">
        <v>17</v>
      </c>
      <c r="T75" s="196">
        <f>'Ceny składowe'!C7</f>
        <v>4.2</v>
      </c>
      <c r="U75" s="196">
        <f>T75*R75</f>
        <v>26.547108000000001</v>
      </c>
    </row>
    <row r="76" spans="1:22">
      <c r="A76" s="108" t="s">
        <v>98</v>
      </c>
      <c r="B76" s="110" t="s">
        <v>243</v>
      </c>
      <c r="C76" s="9">
        <f>C70*1.1</f>
        <v>15.400000000000002</v>
      </c>
      <c r="D76" s="108" t="s">
        <v>2</v>
      </c>
      <c r="E76" s="196">
        <f>'Ceny składowe'!C33</f>
        <v>7.29</v>
      </c>
      <c r="F76" s="199">
        <f t="shared" ref="F76:F81" si="1">E76*C76</f>
        <v>112.26600000000002</v>
      </c>
      <c r="H76" s="336">
        <f>IF(AND(D50&lt;=400,D50&gt;300),J76,0)</f>
        <v>0</v>
      </c>
      <c r="I76" s="336">
        <f>IF(AND(D51&lt;=400,D51&gt;300),J76,0)</f>
        <v>0</v>
      </c>
      <c r="J76" s="336">
        <f>ROUND(F88*(1+K76),2)</f>
        <v>791.1</v>
      </c>
      <c r="K76" s="339">
        <v>1.9</v>
      </c>
      <c r="L76" s="196">
        <f>ROUND(U88*(1+K76),2)</f>
        <v>667.39</v>
      </c>
      <c r="M76" s="196">
        <f>IF(AND(S50&lt;=400,S50&gt;300),L76,0)</f>
        <v>0</v>
      </c>
      <c r="N76" s="196">
        <f>IF(AND(S51&lt;=400,S51&gt;300),L76,0)</f>
        <v>0</v>
      </c>
      <c r="P76" s="108" t="s">
        <v>98</v>
      </c>
      <c r="Q76" s="110" t="s">
        <v>243</v>
      </c>
      <c r="R76" s="9">
        <f>R70*1.1</f>
        <v>11.000000000000004</v>
      </c>
      <c r="S76" s="108" t="s">
        <v>2</v>
      </c>
      <c r="T76" s="196">
        <f>'Ceny składowe'!C33</f>
        <v>7.29</v>
      </c>
      <c r="U76" s="199">
        <f t="shared" ref="U76:U81" si="2">T76*R76</f>
        <v>80.190000000000026</v>
      </c>
    </row>
    <row r="77" spans="1:22">
      <c r="A77" s="108" t="s">
        <v>149</v>
      </c>
      <c r="B77" s="108" t="s">
        <v>34</v>
      </c>
      <c r="C77" s="9">
        <f>C71*1.1</f>
        <v>1.0780000000000001</v>
      </c>
      <c r="D77" s="108" t="s">
        <v>2</v>
      </c>
      <c r="E77" s="196">
        <f>'Ceny składowe'!C42</f>
        <v>17.2</v>
      </c>
      <c r="F77" s="199">
        <f t="shared" si="1"/>
        <v>18.541599999999999</v>
      </c>
      <c r="H77" s="336">
        <f>IF(AND(D50&lt;=500,D50&gt;400),J77,0)</f>
        <v>731.08</v>
      </c>
      <c r="I77" s="336">
        <f>IF(AND(D51&lt;=500,D51&gt;400),J77,0)</f>
        <v>731.08</v>
      </c>
      <c r="J77" s="336">
        <f>ROUND(F88*(1+K77),2)</f>
        <v>731.08</v>
      </c>
      <c r="K77" s="340">
        <v>1.68</v>
      </c>
      <c r="L77" s="196">
        <f>ROUND(U88*(1+K77),2)</f>
        <v>616.76</v>
      </c>
      <c r="M77" s="196">
        <f>IF(AND(S50&lt;=500,S50&gt;400),L77,0)</f>
        <v>616.76</v>
      </c>
      <c r="N77" s="196">
        <f>IF(AND(S51&lt;=500,S51&gt;400),L77,0)</f>
        <v>616.76</v>
      </c>
      <c r="P77" s="108" t="s">
        <v>149</v>
      </c>
      <c r="Q77" s="108" t="s">
        <v>34</v>
      </c>
      <c r="R77" s="9">
        <f>R71*1.1</f>
        <v>0.77</v>
      </c>
      <c r="S77" s="108" t="s">
        <v>2</v>
      </c>
      <c r="T77" s="196">
        <f>'Ceny składowe'!C42</f>
        <v>17.2</v>
      </c>
      <c r="U77" s="199">
        <f t="shared" si="2"/>
        <v>13.244</v>
      </c>
    </row>
    <row r="78" spans="1:22">
      <c r="A78" s="111" t="s">
        <v>337</v>
      </c>
      <c r="B78" s="112" t="s">
        <v>21</v>
      </c>
      <c r="C78" s="9">
        <f>IF(OR(D50&gt;1000,D51&gt;1000),0.0001,4)</f>
        <v>4</v>
      </c>
      <c r="D78" s="111" t="s">
        <v>64</v>
      </c>
      <c r="E78" s="196">
        <f>'Ceny składowe'!C20</f>
        <v>0.27</v>
      </c>
      <c r="F78" s="199">
        <f t="shared" si="1"/>
        <v>1.08</v>
      </c>
      <c r="H78" s="336">
        <f>IF(AND(D50&lt;=600,D50&gt;500),J78,0)</f>
        <v>0</v>
      </c>
      <c r="I78" s="336">
        <f>IF(AND(D51&lt;=600,D51&gt;500),J78,0)</f>
        <v>0</v>
      </c>
      <c r="J78" s="336">
        <f>ROUND(F88*(1+K78),2)</f>
        <v>676.52</v>
      </c>
      <c r="K78" s="341">
        <v>1.48</v>
      </c>
      <c r="L78" s="196">
        <f>ROUND(U88*(1+K78),2)</f>
        <v>570.74</v>
      </c>
      <c r="M78" s="196">
        <f>IF(AND(S50&lt;=600,S50&gt;500),L78,0)</f>
        <v>0</v>
      </c>
      <c r="N78" s="196">
        <f>IF(AND(S51&lt;=600,S51&gt;500),L78,0)</f>
        <v>0</v>
      </c>
      <c r="P78" s="111" t="s">
        <v>337</v>
      </c>
      <c r="Q78" s="112" t="s">
        <v>21</v>
      </c>
      <c r="R78" s="9">
        <f>IF(OR(S50&gt;1000,S51&gt;1000),0.0001,4)</f>
        <v>4</v>
      </c>
      <c r="S78" s="111" t="s">
        <v>64</v>
      </c>
      <c r="T78" s="196">
        <f>'Ceny składowe'!C20</f>
        <v>0.27</v>
      </c>
      <c r="U78" s="199">
        <f t="shared" si="2"/>
        <v>1.08</v>
      </c>
    </row>
    <row r="79" spans="1:22">
      <c r="A79" s="111" t="s">
        <v>334</v>
      </c>
      <c r="B79" s="112" t="s">
        <v>20</v>
      </c>
      <c r="C79" s="9">
        <f>IF(OR(D50&gt;1000,D51&gt;1000),0.0001,C68)</f>
        <v>2</v>
      </c>
      <c r="D79" s="111" t="s">
        <v>2</v>
      </c>
      <c r="E79" s="196">
        <f>'Ceny składowe'!C34</f>
        <v>1.89</v>
      </c>
      <c r="F79" s="199">
        <f t="shared" si="1"/>
        <v>3.78</v>
      </c>
      <c r="H79" s="336">
        <f>IF(AND(D50&lt;=700,D50&gt;600),J79,0)</f>
        <v>0</v>
      </c>
      <c r="I79" s="336">
        <f>IF(AND(D51&lt;=700,D51&gt;600),J79,0)</f>
        <v>0</v>
      </c>
      <c r="J79" s="336">
        <f>ROUND(F88*(1+K79),2)</f>
        <v>635.61</v>
      </c>
      <c r="K79" s="342">
        <v>1.33</v>
      </c>
      <c r="L79" s="196">
        <f>ROUND(U88*(1+K79),2)</f>
        <v>536.22</v>
      </c>
      <c r="M79" s="196">
        <f>IF(AND(S50&lt;=700,S50&gt;600),L79,0)</f>
        <v>0</v>
      </c>
      <c r="N79" s="196">
        <f>IF(AND(S51&lt;=700,S51&gt;600),L79,0)</f>
        <v>0</v>
      </c>
      <c r="P79" s="111" t="s">
        <v>334</v>
      </c>
      <c r="Q79" s="112" t="s">
        <v>20</v>
      </c>
      <c r="R79" s="9">
        <f>IF(OR(S50&gt;1000,S51&gt;1000),0.0001,R68)</f>
        <v>2</v>
      </c>
      <c r="S79" s="111" t="s">
        <v>2</v>
      </c>
      <c r="T79" s="196">
        <f>'Ceny składowe'!C34</f>
        <v>1.89</v>
      </c>
      <c r="U79" s="199">
        <f t="shared" si="2"/>
        <v>3.78</v>
      </c>
    </row>
    <row r="80" spans="1:22">
      <c r="A80" s="111" t="s">
        <v>406</v>
      </c>
      <c r="B80" s="112" t="s">
        <v>20</v>
      </c>
      <c r="C80" s="9">
        <f>IF(OR(D50&gt;1000,D51&gt;1000),C68,0.0001)</f>
        <v>1E-4</v>
      </c>
      <c r="D80" s="111" t="s">
        <v>2</v>
      </c>
      <c r="E80" s="196">
        <f>'Ceny składowe'!C36</f>
        <v>2.92</v>
      </c>
      <c r="F80" s="199">
        <f t="shared" si="1"/>
        <v>2.92E-4</v>
      </c>
      <c r="H80" s="336">
        <f>IF(AND(D50&lt;=800,D50&gt;700),J80,0)</f>
        <v>0</v>
      </c>
      <c r="I80" s="336">
        <f>IF(AND(D51&lt;=800,D51&gt;700),J80,0)</f>
        <v>0</v>
      </c>
      <c r="J80" s="336">
        <f>ROUND(F88*(1+K80),2)</f>
        <v>613.78</v>
      </c>
      <c r="K80" s="343">
        <v>1.25</v>
      </c>
      <c r="L80" s="196">
        <f>ROUND(U88*(1+K80),2)</f>
        <v>517.79999999999995</v>
      </c>
      <c r="M80" s="196">
        <f>IF(AND(S50&lt;=800,S50&gt;700),L80,0)</f>
        <v>0</v>
      </c>
      <c r="N80" s="196">
        <f>IF(AND(S51&lt;=800,S51&gt;700),L80,0)</f>
        <v>0</v>
      </c>
      <c r="P80" s="111" t="s">
        <v>406</v>
      </c>
      <c r="Q80" s="112" t="s">
        <v>20</v>
      </c>
      <c r="R80" s="9">
        <f>IF(OR(S50&gt;1000,S51&gt;1000),R68,0.0001)</f>
        <v>1E-4</v>
      </c>
      <c r="S80" s="111" t="s">
        <v>2</v>
      </c>
      <c r="T80" s="196">
        <f>'Ceny składowe'!C36</f>
        <v>2.92</v>
      </c>
      <c r="U80" s="199">
        <f t="shared" si="2"/>
        <v>2.92E-4</v>
      </c>
    </row>
    <row r="81" spans="1:21">
      <c r="A81" s="108" t="s">
        <v>336</v>
      </c>
      <c r="B81" s="112" t="s">
        <v>21</v>
      </c>
      <c r="C81" s="9">
        <f>IF(OR(D50&gt;1000,D51&gt;1000),4,0.0001)</f>
        <v>1E-4</v>
      </c>
      <c r="D81" s="111" t="s">
        <v>64</v>
      </c>
      <c r="E81" s="196">
        <f>'Ceny składowe'!C22</f>
        <v>0.75</v>
      </c>
      <c r="F81" s="199">
        <f t="shared" si="1"/>
        <v>7.5000000000000007E-5</v>
      </c>
      <c r="H81" s="336">
        <f>IF(AND(D50&lt;=900,D50&gt;800),J81,0)</f>
        <v>0</v>
      </c>
      <c r="I81" s="336">
        <f>IF(AND(D51&lt;=900,D51&gt;800),J81,0)</f>
        <v>0</v>
      </c>
      <c r="J81" s="336">
        <f>ROUND(F88*(1+K81),2)</f>
        <v>551.04</v>
      </c>
      <c r="K81" s="344">
        <v>1.02</v>
      </c>
      <c r="L81" s="196">
        <f>ROUND(U88*(1+K81),2)</f>
        <v>464.87</v>
      </c>
      <c r="M81" s="196">
        <f>IF(AND(S50&lt;=900,S50&gt;800),L81,0)</f>
        <v>0</v>
      </c>
      <c r="N81" s="196">
        <f>IF(AND(S51&lt;=900,S51&gt;800),L81,0)</f>
        <v>0</v>
      </c>
      <c r="P81" s="108" t="s">
        <v>336</v>
      </c>
      <c r="Q81" s="112" t="s">
        <v>21</v>
      </c>
      <c r="R81" s="9">
        <f>IF(OR(S50&gt;1000,S51&gt;1000),4,0.0001)</f>
        <v>1E-4</v>
      </c>
      <c r="S81" s="111" t="s">
        <v>64</v>
      </c>
      <c r="T81" s="196">
        <f>'Ceny składowe'!C22</f>
        <v>0.75</v>
      </c>
      <c r="U81" s="199">
        <f t="shared" si="2"/>
        <v>7.5000000000000007E-5</v>
      </c>
    </row>
    <row r="82" spans="1:21">
      <c r="A82" s="108" t="s">
        <v>554</v>
      </c>
      <c r="B82" s="112" t="s">
        <v>426</v>
      </c>
      <c r="C82" s="9">
        <f>((F55/7)*4)*4/10000</f>
        <v>0.112</v>
      </c>
      <c r="D82" s="111" t="s">
        <v>424</v>
      </c>
      <c r="E82" s="196">
        <f>'Ceny składowe'!C63</f>
        <v>38.1</v>
      </c>
      <c r="F82" s="199">
        <f>E82*C82</f>
        <v>4.2671999999999999</v>
      </c>
      <c r="H82" s="336">
        <f>IF(AND(D50&lt;=1000,D50&gt;900),J82,0)</f>
        <v>0</v>
      </c>
      <c r="I82" s="336">
        <f>IF(AND(D51&lt;=1000,D51&gt;900),J82,0)</f>
        <v>0</v>
      </c>
      <c r="J82" s="336">
        <f>ROUND(F88*(1+K82),2)</f>
        <v>564.67999999999995</v>
      </c>
      <c r="K82" s="345">
        <v>1.07</v>
      </c>
      <c r="L82" s="196">
        <f>ROUND(U88*(1+K82),2)</f>
        <v>476.38</v>
      </c>
      <c r="M82" s="196">
        <f>IF(AND(S50&lt;=1000,S50&gt;900),L82,0)</f>
        <v>0</v>
      </c>
      <c r="N82" s="196">
        <f>IF(AND(S51&lt;=1000,S51&gt;900),L82,0)</f>
        <v>0</v>
      </c>
      <c r="P82" s="108" t="s">
        <v>554</v>
      </c>
      <c r="Q82" s="112" t="s">
        <v>426</v>
      </c>
      <c r="R82" s="9">
        <f>((U55/7)*4)*4/10000</f>
        <v>0.08</v>
      </c>
      <c r="S82" s="111" t="s">
        <v>424</v>
      </c>
      <c r="T82" s="196">
        <f>'Ceny składowe'!C63</f>
        <v>38.1</v>
      </c>
      <c r="U82" s="199">
        <f>T82*R82</f>
        <v>3.048</v>
      </c>
    </row>
    <row r="83" spans="1:21">
      <c r="A83" s="99"/>
      <c r="B83" s="99"/>
      <c r="C83" s="105"/>
      <c r="D83" s="99"/>
      <c r="F83" s="2"/>
      <c r="H83" s="336">
        <f>IF(AND(D50&lt;=1100,D50&gt;1000),J83,0)</f>
        <v>0</v>
      </c>
      <c r="I83" s="336">
        <f>IF(AND(D51&lt;=1100,D51&gt;1000),J83,0)</f>
        <v>0</v>
      </c>
      <c r="J83" s="336">
        <f>ROUND(F88*(1+K83),2)</f>
        <v>512.85</v>
      </c>
      <c r="K83" s="346">
        <v>0.88</v>
      </c>
      <c r="L83" s="196">
        <f>ROUND(U88*(1+K83),2)</f>
        <v>432.65</v>
      </c>
      <c r="M83" s="196">
        <f>IF(AND(S50&lt;=1100,S50&gt;1000),L83,0)</f>
        <v>0</v>
      </c>
      <c r="N83" s="196">
        <f>IF(AND(S51&lt;=1100,S51&gt;1000),L83,0)</f>
        <v>0</v>
      </c>
      <c r="P83" s="99"/>
      <c r="Q83" s="99"/>
      <c r="R83" s="105"/>
      <c r="S83" s="99"/>
      <c r="U83" s="2"/>
    </row>
    <row r="84" spans="1:21">
      <c r="A84" s="99"/>
      <c r="B84" s="99"/>
      <c r="C84" s="105"/>
      <c r="D84" s="99"/>
      <c r="E84" t="s">
        <v>403</v>
      </c>
      <c r="F84" s="258">
        <f>SUM(F74:F82)</f>
        <v>188.79229100000003</v>
      </c>
      <c r="H84" s="336">
        <f>IF(AND(D50&lt;=1200,D50&gt;1100),J84,0)</f>
        <v>0</v>
      </c>
      <c r="I84" s="336">
        <f>IF(AND(D51&lt;=1200,D51&gt;1100),J84,0)</f>
        <v>0</v>
      </c>
      <c r="J84" s="336">
        <f>ROUND(F88*(1+K84),2)</f>
        <v>501.94</v>
      </c>
      <c r="K84" s="347">
        <v>0.84</v>
      </c>
      <c r="L84" s="196">
        <f>ROUND(U88*(1+K84),2)</f>
        <v>423.45</v>
      </c>
      <c r="M84" s="196">
        <f>IF(AND(S50&lt;=1200,S50&gt;1100),L84,0)</f>
        <v>0</v>
      </c>
      <c r="N84" s="196">
        <f>IF(AND(S51&lt;=1200,S51&gt;1100),L84,0)</f>
        <v>0</v>
      </c>
      <c r="P84" s="99"/>
      <c r="Q84" s="99"/>
      <c r="R84" s="105"/>
      <c r="S84" s="99"/>
      <c r="T84" t="s">
        <v>403</v>
      </c>
      <c r="U84" s="258">
        <f>SUM(U74:U82)</f>
        <v>146.13523500000005</v>
      </c>
    </row>
    <row r="85" spans="1:21">
      <c r="A85" s="99"/>
      <c r="B85" s="99"/>
      <c r="C85" s="105"/>
      <c r="D85" s="99"/>
      <c r="E85" t="s">
        <v>404</v>
      </c>
      <c r="F85" s="259">
        <f>I92*(1-10%)</f>
        <v>657.97200000000009</v>
      </c>
      <c r="H85" s="336">
        <f>IF(AND(D50&lt;=1300,D50&gt;1200),J85,0)</f>
        <v>0</v>
      </c>
      <c r="I85" s="336">
        <f>IF(AND(D51&lt;=1300,D51&gt;1200),J85,0)</f>
        <v>0</v>
      </c>
      <c r="J85" s="336">
        <f>ROUND(F88*(1+K85),2)</f>
        <v>496.48</v>
      </c>
      <c r="K85" s="348">
        <v>0.82</v>
      </c>
      <c r="L85" s="196">
        <f>ROUND(U88*(1+K85),2)</f>
        <v>418.85</v>
      </c>
      <c r="M85" s="196">
        <f>IF(AND(S50&lt;=1300,S50&gt;1200),L85,0)</f>
        <v>0</v>
      </c>
      <c r="N85" s="196">
        <f>IF(AND(S51&lt;=1300,S51&gt;1200),L85,0)</f>
        <v>0</v>
      </c>
      <c r="P85" s="99"/>
      <c r="Q85" s="99"/>
      <c r="R85" s="105"/>
      <c r="S85" s="99"/>
      <c r="T85" t="s">
        <v>404</v>
      </c>
      <c r="U85" s="259">
        <f>N92</f>
        <v>616.76</v>
      </c>
    </row>
    <row r="86" spans="1:21">
      <c r="A86" s="99"/>
      <c r="B86" s="99"/>
      <c r="C86" s="99"/>
      <c r="D86" s="99"/>
      <c r="H86" s="336">
        <f>IF(AND(D50&lt;=1400,D50&gt;1300),J86,0)</f>
        <v>0</v>
      </c>
      <c r="I86" s="336">
        <f>IF(AND(D51&lt;=1400,D51&gt;1300),J86,0)</f>
        <v>0</v>
      </c>
      <c r="J86" s="336">
        <f>ROUND(F88*(1+K86),2)</f>
        <v>488.3</v>
      </c>
      <c r="K86" s="349">
        <v>0.79</v>
      </c>
      <c r="L86" s="196">
        <f>ROUND(U88*(1+K86),2)</f>
        <v>411.94</v>
      </c>
      <c r="M86" s="196">
        <f>IF(AND(S50&lt;=1400,S50&gt;1300),L86,0)</f>
        <v>0</v>
      </c>
      <c r="N86" s="196">
        <f>IF(AND(S51&lt;=1400,S51&gt;1300),L86,0)</f>
        <v>0</v>
      </c>
      <c r="P86" s="99"/>
      <c r="Q86" s="99"/>
      <c r="R86" s="99"/>
      <c r="S86" s="99"/>
    </row>
    <row r="87" spans="1:21">
      <c r="B87" s="236" t="s">
        <v>411</v>
      </c>
      <c r="C87" s="237">
        <f>IF(AND(D50&lt;=300,D51&gt;=180),90,IF(AND(D50&lt;=500,D51&gt;=300),120,IF(AND(D50&lt;=500,D51&lt;300),105,IF(AND(D50&lt;=700,D51&gt;=500),150,IF(AND(D50&lt;=700,D51&lt;500),135,IF(AND(D50&lt;=900,D51&gt;=700),180,IF(AND(D50&lt;=900,D51&lt;700),165,IF(AND(D50&lt;=1100,D51&gt;=900),210,IF(AND(D50&lt;=1100,D51&lt;900),195,IF(AND(D50&lt;=1300,D51&gt;=1100),240,IF(AND(D50&lt;=1300,D51&lt;1100),225,IF(AND(D50&lt;=1500,D51&gt;=1300),270,IF(AND(D50&lt;=1500,D51&lt;1300),255,IF(AND(D50&lt;=1700,D51&gt;=1500),300,IF(AND(D50&lt;=1700,D51&lt;1500),285,IF(AND(D50&lt;=1900,D51&gt;=1700),330,IF(AND(D50&lt;=1900,D51&lt;1700),315,IF(AND(D50&lt;=2100,D51&gt;=1900),360,IF(AND(D50&lt;=2100,D51&lt;1900),345,IF(AND(D50&lt;=2300,D51&gt;=2100),390,IF(AND(D50&lt;=2300,D51&lt;2100),375,IF(AND(D50&lt;=2500,D51&gt;=2300),420,IF(AND(D50&lt;=2500,D51&lt;2300),405,IF(AND(D50&lt;=2700,D51&gt;=2500),450,IF(AND(D50&lt;=2700,D51&lt;2500),435,IF(AND(D50&lt;=2900,D51&gt;=2700),480,IF(AND(D50&lt;=2900,D51&lt;2700),465,IF(AND(D50&lt;=3100,D51&gt;=2900),510,IF(AND(D50&lt;=3100,D51&lt;2900),495,IF(AND(D50&lt;=3300,D51&gt;=3100),540,IF(AND(D50&lt;=3300,D51&lt;3100),525,IF(AND(D50&lt;=3500,D51&gt;=3300),570,IF(AND(D50&lt;=3500,D51&lt;3300),555,IF(AND(D50&lt;=3700,D51&gt;=3500),600,IF(AND(D50&lt;=3700,D51&lt;3500),585)))))))))))))))))))))))))))))))))))</f>
        <v>120</v>
      </c>
      <c r="D87" s="237" t="s">
        <v>412</v>
      </c>
      <c r="E87" s="239">
        <f>'Ceny składowe'!C94</f>
        <v>0.7</v>
      </c>
      <c r="F87" s="238">
        <f>C87*E87</f>
        <v>84</v>
      </c>
      <c r="H87" s="336">
        <f>IF(AND(D50&lt;=1500,D50&gt;1400),J87,0)</f>
        <v>0</v>
      </c>
      <c r="I87" s="336">
        <f>IF(AND(D51&lt;=1500,D51&gt;1400),J87,0)</f>
        <v>0</v>
      </c>
      <c r="J87" s="336">
        <f>ROUND(F88*(1+K87),2)</f>
        <v>480.11</v>
      </c>
      <c r="K87" s="350">
        <v>0.76</v>
      </c>
      <c r="L87" s="196">
        <f>ROUND(U88*(1+K87),2)</f>
        <v>405.04</v>
      </c>
      <c r="M87" s="196">
        <f>IF(AND(S50&lt;=1500,S50&gt;1400),L87,0)</f>
        <v>0</v>
      </c>
      <c r="N87" s="196">
        <f>IF(AND(S51&lt;=1500,S51&gt;1400),L87,0)</f>
        <v>0</v>
      </c>
      <c r="Q87" s="236" t="s">
        <v>411</v>
      </c>
      <c r="R87" s="237">
        <f>IF(AND(S50&gt;=1500,S51&gt;=1500),220,IF(AND(S50&gt;=200,S51&gt;=1500),160,IF(AND(S50&gt;=1500,S51&gt;=200),160,IF(AND(S50&gt;=1400,S51&gt;=1400),210,IF(AND(S50&gt;=200,S51&gt;=1400),155,IF(AND(S50&gt;=1400,S51&gt;=200),155,IF(AND(S50&gt;=1300,S51&gt;=1300),200,IF(AND(S50&gt;=200,S51&gt;=1300),150,IF(AND(S50&gt;=1300,S51&gt;=200),150,IF(AND(S50&gt;=1200,S51&gt;=1200),190,IF(AND(S50&gt;=200,S51&gt;=1200),145,IF(AND(S50&gt;=1200,S51&gt;=200),145,IF(AND(S50&gt;=1100,S51&gt;=1100),180,IF(AND(S50&gt;=200,S51&gt;=1100),140,IF(AND(S50&gt;=1100,S51&gt;=200),140,IF(AND(S50&gt;=1000,S51&gt;=1000),170,IF(AND(S50&gt;=200,S51&gt;=1000),135,IF(AND(S50&gt;=1000,S51&gt;=200),135,IF(AND(S50&gt;=900,S51&gt;=900),160,IF(AND(S50&gt;=200,S51&gt;=900),130,IF(AND(S50&gt;=900,S51&gt;=200),130,IF(AND(S50&gt;=800,S51&gt;=800),150,IF(AND(S50&gt;=200,S51&gt;=800),125,IF(AND(S50&gt;=800,S51&gt;=200),125,IF(AND(S50&gt;=700,S51&gt;=700),140,IF(AND(S50&gt;=200,S51&gt;=700),120,IF(AND(S50&gt;=700,S51&gt;=200),120,IF(AND(S50&gt;=600,S51&gt;=600),130,IF(AND(S50&gt;=200,S51&gt;=600),115,IF(AND(S50&gt;=600,S51&gt;=200),115,IF(AND(S50&gt;=500,S51&gt;=500),120,IF(AND(S50&gt;=200,S51&gt;=500),110,IF(AND(S50&gt;=500,S51&gt;=200),110,IF(AND(S50&gt;=400,S51&gt;=400),110,IF(AND(S50&gt;=200,S51&gt;=400),105,IF(AND(S50&gt;=400,S51&gt;=200),105,IF(AND(S50&gt;=300,S51&gt;=300),100,IF(AND(S50&gt;=200,S51&gt;=180),90))))))))))))))))))))))))))))))))))))))</f>
        <v>120</v>
      </c>
      <c r="S87" s="237" t="s">
        <v>412</v>
      </c>
      <c r="T87" s="239">
        <f>'Ceny składowe'!C94</f>
        <v>0.7</v>
      </c>
      <c r="U87" s="238">
        <f>R87*T87</f>
        <v>84</v>
      </c>
    </row>
    <row r="88" spans="1:21">
      <c r="B88" s="159"/>
      <c r="C88" s="74"/>
      <c r="D88" s="260" t="s">
        <v>418</v>
      </c>
      <c r="E88" s="237" t="s">
        <v>427</v>
      </c>
      <c r="F88" s="240">
        <f>F84+F87</f>
        <v>272.79229100000003</v>
      </c>
      <c r="H88" s="336">
        <f>IF(D50&gt;1500,J88,0)</f>
        <v>0</v>
      </c>
      <c r="I88" s="336">
        <f>IF(D51&gt;1500,J88,0)</f>
        <v>0</v>
      </c>
      <c r="J88" s="336">
        <f>ROUND(F88*(1+K88),2)</f>
        <v>474.66</v>
      </c>
      <c r="K88" s="351">
        <v>0.74</v>
      </c>
      <c r="L88" s="196">
        <f>ROUND(U88*(1+K88),2)</f>
        <v>400.44</v>
      </c>
      <c r="M88" s="196">
        <f>IF(S50&gt;1500,L88,0)</f>
        <v>0</v>
      </c>
      <c r="N88" s="196">
        <f>IF(S51&gt;1500,M88,0)</f>
        <v>0</v>
      </c>
      <c r="Q88" s="159"/>
      <c r="R88" s="74"/>
      <c r="S88" s="260" t="s">
        <v>418</v>
      </c>
      <c r="T88" s="237" t="s">
        <v>427</v>
      </c>
      <c r="U88" s="240">
        <f>U84+U87</f>
        <v>230.13523500000005</v>
      </c>
    </row>
    <row r="90" spans="1:21">
      <c r="E90" s="129" t="s">
        <v>294</v>
      </c>
      <c r="F90" s="295">
        <f>(F85-F88)/F88</f>
        <v>1.4119889810229278</v>
      </c>
      <c r="H90" s="196">
        <f>SUM(H74:H88)</f>
        <v>731.08</v>
      </c>
      <c r="I90" s="196">
        <f>SUM(I74:I88)</f>
        <v>731.08</v>
      </c>
      <c r="M90" s="196">
        <f>SUM(M74:M88)</f>
        <v>616.76</v>
      </c>
      <c r="N90" s="196">
        <f>SUM(N74:N88)</f>
        <v>616.76</v>
      </c>
      <c r="T90" s="129" t="s">
        <v>294</v>
      </c>
      <c r="U90" s="295">
        <f>(U85-U88)/U88</f>
        <v>1.6799894418601298</v>
      </c>
    </row>
    <row r="91" spans="1:21">
      <c r="I91" s="1" t="s">
        <v>619</v>
      </c>
      <c r="N91" s="1" t="s">
        <v>619</v>
      </c>
    </row>
    <row r="92" spans="1:21">
      <c r="I92" s="352">
        <f>AVERAGE(H90,I90)</f>
        <v>731.08</v>
      </c>
      <c r="N92" s="352">
        <f>AVERAGE(M90,N90)</f>
        <v>616.76</v>
      </c>
      <c r="Q92" s="237"/>
    </row>
  </sheetData>
  <conditionalFormatting sqref="K27:K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4:K8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256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K99"/>
  <sheetViews>
    <sheetView workbookViewId="0">
      <selection activeCell="E90" sqref="E90"/>
    </sheetView>
  </sheetViews>
  <sheetFormatPr defaultColWidth="9.109375" defaultRowHeight="14.4"/>
  <cols>
    <col min="1" max="1" width="30.44140625" style="1" customWidth="1"/>
    <col min="2" max="2" width="38.33203125" style="1" customWidth="1"/>
    <col min="3" max="3" width="11.33203125" style="1" customWidth="1"/>
    <col min="4" max="4" width="9.109375" style="1"/>
    <col min="5" max="5" width="10.109375" style="1" bestFit="1" customWidth="1"/>
    <col min="6" max="6" width="10.109375" style="1" customWidth="1"/>
    <col min="7" max="7" width="27.6640625" style="1" customWidth="1"/>
    <col min="8" max="8" width="33.6640625" style="1" customWidth="1"/>
    <col min="9" max="9" width="11.88671875" style="1" customWidth="1"/>
    <col min="10" max="12" width="9.109375" style="1"/>
    <col min="13" max="13" width="29" style="1" customWidth="1"/>
    <col min="14" max="14" width="32.109375" style="1" customWidth="1"/>
    <col min="15" max="16" width="9.109375" style="1"/>
    <col min="17" max="18" width="11.109375" style="1" customWidth="1"/>
    <col min="19" max="19" width="28.109375" style="1" customWidth="1"/>
    <col min="20" max="20" width="35.109375" style="1" customWidth="1"/>
    <col min="21" max="21" width="13.109375" style="1" customWidth="1"/>
    <col min="22" max="22" width="9.109375" style="1"/>
    <col min="23" max="23" width="12.44140625" style="1" customWidth="1"/>
    <col min="24" max="24" width="12.5546875" style="1" customWidth="1"/>
    <col min="25" max="16384" width="9.109375" style="1"/>
  </cols>
  <sheetData>
    <row r="3" spans="2:37">
      <c r="B3" s="1" t="s">
        <v>207</v>
      </c>
      <c r="H3" s="1" t="s">
        <v>217</v>
      </c>
      <c r="N3" s="1" t="s">
        <v>228</v>
      </c>
      <c r="T3" s="1" t="s">
        <v>230</v>
      </c>
      <c r="AA3" s="1" t="s">
        <v>108</v>
      </c>
    </row>
    <row r="4" spans="2:37">
      <c r="AB4" s="1">
        <v>0.125</v>
      </c>
      <c r="AC4" s="1">
        <v>7.8E-2</v>
      </c>
      <c r="AD4" s="1">
        <v>0.15</v>
      </c>
      <c r="AE4" s="1">
        <v>0.2</v>
      </c>
      <c r="AF4" s="1">
        <v>0.25</v>
      </c>
    </row>
    <row r="5" spans="2:37">
      <c r="B5" s="1" t="s">
        <v>110</v>
      </c>
      <c r="C5" s="47">
        <f>'Cennik Produkcja '!D134</f>
        <v>585</v>
      </c>
      <c r="D5" s="1" t="s">
        <v>27</v>
      </c>
      <c r="H5" s="1" t="s">
        <v>110</v>
      </c>
      <c r="I5" s="47">
        <f>'Cennik Produkcja '!$D$116</f>
        <v>350</v>
      </c>
      <c r="J5" s="1" t="s">
        <v>27</v>
      </c>
      <c r="N5" s="1" t="s">
        <v>110</v>
      </c>
      <c r="O5" s="47">
        <f>'Cennik Produkcja '!D179</f>
        <v>350</v>
      </c>
      <c r="P5" s="1" t="s">
        <v>27</v>
      </c>
      <c r="T5" s="1" t="s">
        <v>110</v>
      </c>
      <c r="U5" s="47">
        <f>'Cennik Produkcja '!D188</f>
        <v>505</v>
      </c>
      <c r="V5" s="1" t="s">
        <v>27</v>
      </c>
      <c r="AA5" s="1" t="s">
        <v>109</v>
      </c>
      <c r="AB5" s="40">
        <f>((AB4/2)^2)*3.14</f>
        <v>1.2265625E-2</v>
      </c>
      <c r="AC5" s="40">
        <f>((AC4/2)^2)*3.14</f>
        <v>4.7759400000000002E-3</v>
      </c>
      <c r="AD5" s="40">
        <f>((AD4/2)^2)*3.14</f>
        <v>1.7662500000000001E-2</v>
      </c>
      <c r="AE5" s="40">
        <f>((AE4/2)^2)*3.14</f>
        <v>3.1400000000000004E-2</v>
      </c>
      <c r="AF5" s="40">
        <f>((AF4/2)^2)*3.14</f>
        <v>4.9062500000000002E-2</v>
      </c>
    </row>
    <row r="6" spans="2:37">
      <c r="B6" s="1" t="s">
        <v>111</v>
      </c>
      <c r="C6" s="47">
        <f>'Cennik Produkcja '!E134</f>
        <v>585</v>
      </c>
      <c r="D6" s="1" t="s">
        <v>27</v>
      </c>
      <c r="H6" s="1" t="s">
        <v>111</v>
      </c>
      <c r="I6" s="47">
        <f>'Cennik Produkcja '!$E$116</f>
        <v>150</v>
      </c>
      <c r="J6" s="1" t="s">
        <v>27</v>
      </c>
      <c r="N6" s="1" t="s">
        <v>111</v>
      </c>
      <c r="O6" s="47">
        <f>'Cennik Produkcja '!E179</f>
        <v>350</v>
      </c>
      <c r="P6" s="1" t="s">
        <v>27</v>
      </c>
      <c r="T6" s="1" t="s">
        <v>111</v>
      </c>
      <c r="U6" s="47">
        <f>'Cennik Produkcja '!E188</f>
        <v>210</v>
      </c>
      <c r="V6" s="1" t="s">
        <v>27</v>
      </c>
      <c r="AA6" s="1" t="s">
        <v>5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H6" s="40"/>
      <c r="AI6" s="40"/>
      <c r="AJ6" s="40"/>
    </row>
    <row r="7" spans="2:37">
      <c r="B7" s="1" t="s">
        <v>89</v>
      </c>
      <c r="C7" s="47">
        <f>'Cennik Produkcja '!D136</f>
        <v>325</v>
      </c>
      <c r="D7" s="1" t="s">
        <v>27</v>
      </c>
      <c r="H7" s="1" t="s">
        <v>89</v>
      </c>
      <c r="I7" s="47">
        <f>'Cennik Produkcja '!D118</f>
        <v>250</v>
      </c>
      <c r="J7" s="1" t="s">
        <v>27</v>
      </c>
      <c r="N7" s="1" t="s">
        <v>89</v>
      </c>
      <c r="O7" s="47">
        <f>'Cennik Produkcja '!D181</f>
        <v>250</v>
      </c>
      <c r="P7" s="1" t="s">
        <v>27</v>
      </c>
      <c r="T7" s="1" t="s">
        <v>89</v>
      </c>
      <c r="U7" s="47">
        <f>'Cennik Produkcja '!D190</f>
        <v>300</v>
      </c>
      <c r="V7" s="1" t="s">
        <v>27</v>
      </c>
      <c r="AA7" s="1" t="s">
        <v>112</v>
      </c>
      <c r="AB7" s="40">
        <f>AB5*AB6</f>
        <v>0</v>
      </c>
      <c r="AC7" s="40">
        <f>AC5*AC6</f>
        <v>0</v>
      </c>
      <c r="AD7" s="1">
        <f>AD5*AD6</f>
        <v>0</v>
      </c>
      <c r="AE7" s="1">
        <f>AE5*AE6</f>
        <v>0</v>
      </c>
      <c r="AF7" s="40">
        <f>AF5*AF6</f>
        <v>0</v>
      </c>
      <c r="AG7" s="95">
        <f>SUM(AB7:AF7)</f>
        <v>0</v>
      </c>
    </row>
    <row r="8" spans="2:37">
      <c r="B8" s="1" t="s">
        <v>208</v>
      </c>
      <c r="C8" s="47">
        <f>'Cennik Produkcja '!E136</f>
        <v>125</v>
      </c>
      <c r="D8" s="1" t="s">
        <v>27</v>
      </c>
      <c r="H8" s="1" t="s">
        <v>208</v>
      </c>
      <c r="I8" s="47">
        <f>'Cennik Produkcja '!$E$118</f>
        <v>1</v>
      </c>
      <c r="J8" s="1" t="s">
        <v>27</v>
      </c>
      <c r="N8" s="1" t="s">
        <v>208</v>
      </c>
      <c r="O8" s="47">
        <f>'Cennik Produkcja '!E181</f>
        <v>200</v>
      </c>
      <c r="P8" s="1" t="s">
        <v>27</v>
      </c>
      <c r="T8" s="1" t="s">
        <v>208</v>
      </c>
      <c r="U8" s="47">
        <f>'Cennik Produkcja '!E190</f>
        <v>200</v>
      </c>
      <c r="V8" s="1" t="s">
        <v>27</v>
      </c>
      <c r="AB8" s="40"/>
      <c r="AC8" s="40"/>
      <c r="AF8" s="40"/>
      <c r="AG8" s="95"/>
    </row>
    <row r="9" spans="2:37">
      <c r="C9" s="47"/>
      <c r="I9" s="47"/>
      <c r="N9" s="1" t="s">
        <v>304</v>
      </c>
      <c r="O9" s="47">
        <f>'Cennik Produkcja '!F181</f>
        <v>3</v>
      </c>
      <c r="P9" s="1" t="s">
        <v>27</v>
      </c>
      <c r="T9" s="1" t="s">
        <v>232</v>
      </c>
      <c r="U9" s="47">
        <f>'Cennik Produkcja '!F190</f>
        <v>2</v>
      </c>
      <c r="V9" s="1" t="s">
        <v>27</v>
      </c>
      <c r="AB9" s="40"/>
      <c r="AC9" s="40"/>
      <c r="AF9" s="40"/>
      <c r="AG9" s="95"/>
    </row>
    <row r="10" spans="2:37">
      <c r="B10" s="1" t="s">
        <v>117</v>
      </c>
      <c r="C10" s="47">
        <f>C8</f>
        <v>125</v>
      </c>
      <c r="D10" s="1" t="s">
        <v>27</v>
      </c>
      <c r="H10" s="1" t="s">
        <v>117</v>
      </c>
      <c r="I10" s="47">
        <f>I8</f>
        <v>1</v>
      </c>
      <c r="J10" s="1" t="s">
        <v>27</v>
      </c>
      <c r="N10" s="1" t="s">
        <v>117</v>
      </c>
      <c r="O10" s="47">
        <f>O8</f>
        <v>200</v>
      </c>
      <c r="P10" s="1" t="s">
        <v>27</v>
      </c>
      <c r="T10" s="1" t="s">
        <v>117</v>
      </c>
      <c r="U10" s="47">
        <f>U8</f>
        <v>200</v>
      </c>
      <c r="V10" s="1" t="s">
        <v>27</v>
      </c>
      <c r="AH10" s="96"/>
      <c r="AI10" s="96"/>
      <c r="AJ10" s="96"/>
      <c r="AK10" s="95"/>
    </row>
    <row r="11" spans="2:37">
      <c r="B11" s="1" t="s">
        <v>118</v>
      </c>
      <c r="C11" s="47"/>
      <c r="D11" s="1" t="s">
        <v>27</v>
      </c>
      <c r="H11" s="1" t="s">
        <v>118</v>
      </c>
      <c r="I11" s="47"/>
      <c r="J11" s="1" t="s">
        <v>27</v>
      </c>
      <c r="N11" s="1" t="s">
        <v>118</v>
      </c>
      <c r="O11" s="47">
        <v>0</v>
      </c>
      <c r="P11" s="1" t="s">
        <v>27</v>
      </c>
      <c r="T11" s="1" t="s">
        <v>118</v>
      </c>
      <c r="U11" s="47">
        <v>0</v>
      </c>
      <c r="V11" s="1" t="s">
        <v>27</v>
      </c>
      <c r="AA11" s="1" t="s">
        <v>113</v>
      </c>
      <c r="AB11" s="1">
        <f>(AB4*3.14)*0.1</f>
        <v>3.9250000000000007E-2</v>
      </c>
      <c r="AC11" s="1">
        <f>(AC4*3.14)*0.1</f>
        <v>2.4492E-2</v>
      </c>
      <c r="AD11" s="1">
        <f>(AD4*3.14)*0.1</f>
        <v>4.7100000000000003E-2</v>
      </c>
      <c r="AE11" s="1">
        <f>(AE4*3.14)*0.1</f>
        <v>6.2800000000000009E-2</v>
      </c>
      <c r="AF11" s="1">
        <f>(AF4*3.14)*0.1</f>
        <v>7.8500000000000014E-2</v>
      </c>
    </row>
    <row r="12" spans="2:37">
      <c r="B12" s="1" t="s">
        <v>119</v>
      </c>
      <c r="C12" s="74">
        <f>(C10*3.14*0.15)/1000</f>
        <v>5.8874999999999997E-2</v>
      </c>
      <c r="D12" s="1" t="s">
        <v>19</v>
      </c>
      <c r="H12" s="1" t="s">
        <v>119</v>
      </c>
      <c r="I12" s="74">
        <f>(I10*3.14*0.15)/1000</f>
        <v>4.7099999999999996E-4</v>
      </c>
      <c r="J12" s="1" t="s">
        <v>19</v>
      </c>
      <c r="N12" s="1" t="s">
        <v>119</v>
      </c>
      <c r="O12" s="74">
        <f>O9*((O10*3.14*0.15)/1000)</f>
        <v>0.28260000000000002</v>
      </c>
      <c r="P12" s="1" t="s">
        <v>19</v>
      </c>
      <c r="T12" s="1" t="s">
        <v>119</v>
      </c>
      <c r="U12" s="74">
        <f>U9*((U10*3.14*0.15)/1000)</f>
        <v>0.18840000000000001</v>
      </c>
      <c r="V12" s="1" t="s">
        <v>19</v>
      </c>
      <c r="AA12" s="1" t="s">
        <v>5</v>
      </c>
      <c r="AB12" s="1">
        <f>AB6</f>
        <v>0</v>
      </c>
      <c r="AC12" s="1">
        <f>AC6</f>
        <v>0</v>
      </c>
      <c r="AD12" s="1">
        <f>AD6</f>
        <v>0</v>
      </c>
      <c r="AE12" s="1">
        <f>AE6</f>
        <v>0</v>
      </c>
      <c r="AF12" s="1">
        <f>AF6</f>
        <v>0</v>
      </c>
      <c r="AH12" s="40"/>
      <c r="AI12" s="40"/>
      <c r="AJ12" s="40"/>
    </row>
    <row r="13" spans="2:37">
      <c r="B13" s="1" t="s">
        <v>120</v>
      </c>
      <c r="C13" s="74">
        <f>(C5+C6+C5+C6)/1000</f>
        <v>2.34</v>
      </c>
      <c r="D13" s="1" t="s">
        <v>2</v>
      </c>
      <c r="H13" s="1" t="s">
        <v>120</v>
      </c>
      <c r="I13" s="74">
        <f>(I5+I6+I5+I6)/1000</f>
        <v>1</v>
      </c>
      <c r="J13" s="1" t="s">
        <v>2</v>
      </c>
      <c r="N13" s="1" t="s">
        <v>120</v>
      </c>
      <c r="O13" s="74">
        <f>(O5+O6+O5+O6)/1000</f>
        <v>1.4</v>
      </c>
      <c r="P13" s="1" t="s">
        <v>2</v>
      </c>
      <c r="T13" s="1" t="s">
        <v>120</v>
      </c>
      <c r="U13" s="74">
        <f>(U5+U6+U5+U6)/1000</f>
        <v>1.43</v>
      </c>
      <c r="V13" s="1" t="s">
        <v>2</v>
      </c>
      <c r="AA13" s="1" t="s">
        <v>112</v>
      </c>
      <c r="AB13" s="1">
        <f>AB12*AB11</f>
        <v>0</v>
      </c>
      <c r="AC13" s="1">
        <f>AC12*AC11</f>
        <v>0</v>
      </c>
      <c r="AD13" s="1">
        <f>AD12*AD11</f>
        <v>0</v>
      </c>
      <c r="AE13" s="1">
        <f>AE12*AE11</f>
        <v>0</v>
      </c>
      <c r="AF13" s="1">
        <f>AF12*AF11</f>
        <v>0</v>
      </c>
      <c r="AG13" s="95">
        <f>SUM(AB13:AF13)</f>
        <v>0</v>
      </c>
    </row>
    <row r="14" spans="2:37">
      <c r="C14" s="74"/>
      <c r="I14" s="74"/>
      <c r="O14" s="74"/>
      <c r="U14" s="74"/>
      <c r="AH14" s="40"/>
      <c r="AI14" s="40"/>
      <c r="AJ14" s="40"/>
      <c r="AK14" s="95"/>
    </row>
    <row r="15" spans="2:37">
      <c r="B15" s="1" t="s">
        <v>121</v>
      </c>
      <c r="C15" s="74">
        <f>(((C5*C7)*2)+((C6*C7)*2)+C5*C6)/1000000</f>
        <v>1.102725</v>
      </c>
      <c r="D15" s="1" t="s">
        <v>19</v>
      </c>
      <c r="H15" s="1" t="s">
        <v>121</v>
      </c>
      <c r="I15" s="74">
        <f>(((I5*I7)*2)+((I6*I7)*2)+I5*I6)/1000000</f>
        <v>0.30249999999999999</v>
      </c>
      <c r="J15" s="1" t="s">
        <v>19</v>
      </c>
      <c r="N15" s="1" t="s">
        <v>121</v>
      </c>
      <c r="O15" s="74">
        <f>(((O5*O7)*2)+((O6*O7)*2)+O5*O6)/1000000</f>
        <v>0.47249999999999998</v>
      </c>
      <c r="P15" s="1" t="s">
        <v>19</v>
      </c>
      <c r="T15" s="1" t="s">
        <v>121</v>
      </c>
      <c r="U15" s="74">
        <f>(((U5*U7)*2)+((U6*U7)*2)+U5*U6)/1000000</f>
        <v>0.53505000000000003</v>
      </c>
      <c r="V15" s="1" t="s">
        <v>19</v>
      </c>
      <c r="AA15" s="1" t="s">
        <v>114</v>
      </c>
      <c r="AB15" s="40">
        <f>C15</f>
        <v>1.102725</v>
      </c>
      <c r="AC15" s="40"/>
    </row>
    <row r="16" spans="2:37">
      <c r="B16" s="1" t="s">
        <v>122</v>
      </c>
      <c r="C16" s="74">
        <f>((C10/2)*(C10/2)*3.14)/1000000</f>
        <v>1.2265625E-2</v>
      </c>
      <c r="D16" s="1" t="s">
        <v>19</v>
      </c>
      <c r="H16" s="1" t="s">
        <v>122</v>
      </c>
      <c r="I16" s="74">
        <f>((I10/2)*(I10/2)*3.14)/1000000</f>
        <v>7.85E-7</v>
      </c>
      <c r="J16" s="1" t="s">
        <v>19</v>
      </c>
      <c r="N16" s="1" t="s">
        <v>122</v>
      </c>
      <c r="O16" s="74">
        <f>((O10/2)*(O10/2)*3.14)/1000000</f>
        <v>3.1399999999999997E-2</v>
      </c>
      <c r="P16" s="1" t="s">
        <v>19</v>
      </c>
      <c r="T16" s="1" t="s">
        <v>122</v>
      </c>
      <c r="U16" s="74">
        <f>((U10/2)*(U10/2)*3.14)/1000000</f>
        <v>3.1399999999999997E-2</v>
      </c>
      <c r="V16" s="1" t="s">
        <v>19</v>
      </c>
      <c r="AA16" s="1" t="s">
        <v>113</v>
      </c>
      <c r="AB16" s="40">
        <f>AG13</f>
        <v>0</v>
      </c>
      <c r="AC16" s="40"/>
    </row>
    <row r="17" spans="2:29">
      <c r="C17" s="74"/>
      <c r="I17" s="74"/>
      <c r="O17" s="74"/>
      <c r="U17" s="74"/>
    </row>
    <row r="18" spans="2:29">
      <c r="B18" s="1" t="s">
        <v>123</v>
      </c>
      <c r="C18" s="74">
        <f>C15-C16</f>
        <v>1.090459375</v>
      </c>
      <c r="D18" s="1" t="s">
        <v>19</v>
      </c>
      <c r="H18" s="1" t="s">
        <v>123</v>
      </c>
      <c r="I18" s="74">
        <f>I15-I16</f>
        <v>0.30249921499999999</v>
      </c>
      <c r="N18" s="1" t="s">
        <v>123</v>
      </c>
      <c r="O18" s="74">
        <f>O15-O16</f>
        <v>0.44109999999999999</v>
      </c>
      <c r="T18" s="1" t="s">
        <v>123</v>
      </c>
      <c r="U18" s="74">
        <f>U15-U16</f>
        <v>0.50365000000000004</v>
      </c>
      <c r="AA18" s="1" t="s">
        <v>123</v>
      </c>
      <c r="AB18" s="40">
        <f>AB15-AG7</f>
        <v>1.102725</v>
      </c>
      <c r="AC18" s="40"/>
    </row>
    <row r="19" spans="2:29">
      <c r="B19" s="1" t="s">
        <v>125</v>
      </c>
      <c r="C19" s="74">
        <f>C18+C12</f>
        <v>1.149334375</v>
      </c>
      <c r="D19" s="1" t="s">
        <v>19</v>
      </c>
      <c r="H19" s="1" t="s">
        <v>125</v>
      </c>
      <c r="I19" s="74">
        <f>I18+I12</f>
        <v>0.30297021499999999</v>
      </c>
      <c r="N19" s="1" t="s">
        <v>125</v>
      </c>
      <c r="O19" s="74">
        <f>(O18+O12)*1.1</f>
        <v>0.79607000000000006</v>
      </c>
      <c r="T19" s="1" t="s">
        <v>34</v>
      </c>
      <c r="U19" s="74">
        <v>0</v>
      </c>
      <c r="AA19" s="1" t="s">
        <v>124</v>
      </c>
      <c r="AB19" s="40">
        <f>AB18+AB16</f>
        <v>1.102725</v>
      </c>
      <c r="AC19" s="40"/>
    </row>
    <row r="20" spans="2:29">
      <c r="B20" s="1" t="s">
        <v>486</v>
      </c>
      <c r="C20" s="96">
        <f>(C5+80)*55/1000000</f>
        <v>3.6575000000000003E-2</v>
      </c>
      <c r="D20" s="1" t="s">
        <v>19</v>
      </c>
      <c r="T20" s="1" t="s">
        <v>125</v>
      </c>
      <c r="U20" s="74">
        <f>(U18+U12)*1.1</f>
        <v>0.76125500000000013</v>
      </c>
    </row>
    <row r="21" spans="2:29">
      <c r="C21" s="74"/>
      <c r="I21" s="74"/>
      <c r="O21" s="74"/>
      <c r="U21" s="74"/>
    </row>
    <row r="22" spans="2:29">
      <c r="B22" s="1" t="s">
        <v>62</v>
      </c>
      <c r="C22" s="46">
        <v>0.6</v>
      </c>
      <c r="H22" s="1" t="s">
        <v>62</v>
      </c>
      <c r="I22" s="46">
        <v>0.6</v>
      </c>
      <c r="N22" s="1" t="s">
        <v>62</v>
      </c>
      <c r="O22" s="46">
        <v>0.6</v>
      </c>
      <c r="T22" s="1" t="s">
        <v>62</v>
      </c>
      <c r="U22" s="46">
        <v>0.6</v>
      </c>
      <c r="AA22" s="1" t="s">
        <v>62</v>
      </c>
      <c r="AB22" s="1">
        <v>0.6</v>
      </c>
    </row>
    <row r="23" spans="2:29">
      <c r="B23" s="1" t="s">
        <v>53</v>
      </c>
      <c r="C23" s="74">
        <v>8</v>
      </c>
      <c r="H23" s="1" t="s">
        <v>53</v>
      </c>
      <c r="I23" s="74">
        <v>8</v>
      </c>
      <c r="N23" s="1" t="s">
        <v>53</v>
      </c>
      <c r="O23" s="74">
        <v>8</v>
      </c>
      <c r="T23" s="1" t="s">
        <v>53</v>
      </c>
      <c r="U23" s="74">
        <v>8</v>
      </c>
      <c r="AA23" s="1" t="s">
        <v>53</v>
      </c>
      <c r="AB23" s="1">
        <v>8</v>
      </c>
    </row>
    <row r="24" spans="2:29">
      <c r="C24" s="74"/>
      <c r="I24" s="74"/>
      <c r="O24" s="74"/>
      <c r="U24" s="74"/>
    </row>
    <row r="25" spans="2:29">
      <c r="B25" s="97" t="s">
        <v>115</v>
      </c>
      <c r="C25" s="98">
        <f>C22*C23*(C19+C20)</f>
        <v>5.6923649999999997</v>
      </c>
      <c r="H25" s="97" t="s">
        <v>115</v>
      </c>
      <c r="I25" s="98">
        <f>I22*I23*I19</f>
        <v>1.4542570319999999</v>
      </c>
      <c r="N25" s="97" t="s">
        <v>115</v>
      </c>
      <c r="O25" s="98">
        <f>O22*O23*O19</f>
        <v>3.8211360000000001</v>
      </c>
      <c r="T25" s="97" t="s">
        <v>115</v>
      </c>
      <c r="U25" s="98">
        <f>U22*U23*U20</f>
        <v>3.6540240000000006</v>
      </c>
      <c r="AA25" s="97" t="s">
        <v>115</v>
      </c>
      <c r="AB25" s="40">
        <f>AB23*AB22*AB19</f>
        <v>5.2930799999999998</v>
      </c>
      <c r="AC25" s="40"/>
    </row>
    <row r="26" spans="2:29">
      <c r="B26" s="97" t="s">
        <v>116</v>
      </c>
      <c r="C26" s="98">
        <f>C25/1000</f>
        <v>5.6923649999999996E-3</v>
      </c>
      <c r="D26" s="97"/>
      <c r="E26" s="97"/>
      <c r="F26" s="97"/>
      <c r="H26" s="97" t="s">
        <v>116</v>
      </c>
      <c r="I26" s="98">
        <f>I25/1000</f>
        <v>1.4542570319999999E-3</v>
      </c>
      <c r="J26" s="97"/>
      <c r="K26" s="97"/>
      <c r="L26" s="97"/>
      <c r="N26" s="97" t="s">
        <v>116</v>
      </c>
      <c r="O26" s="98">
        <f>O25/1000</f>
        <v>3.8211360000000002E-3</v>
      </c>
      <c r="P26" s="97"/>
      <c r="Q26" s="97"/>
      <c r="R26" s="97"/>
      <c r="T26" s="97" t="s">
        <v>116</v>
      </c>
      <c r="U26" s="98">
        <f>U25/1000</f>
        <v>3.6540240000000005E-3</v>
      </c>
      <c r="V26" s="97"/>
      <c r="W26" s="97"/>
      <c r="X26" s="97"/>
      <c r="Y26" s="97"/>
      <c r="Z26" s="97"/>
      <c r="AA26" s="97" t="s">
        <v>116</v>
      </c>
      <c r="AB26" s="95">
        <f>AB25/1000</f>
        <v>5.2930799999999995E-3</v>
      </c>
      <c r="AC26" s="40"/>
    </row>
    <row r="27" spans="2:29">
      <c r="C27" s="74"/>
      <c r="I27" s="74"/>
      <c r="O27" s="74"/>
      <c r="U27" s="74"/>
    </row>
    <row r="28" spans="2:29">
      <c r="C28" s="74"/>
      <c r="I28" s="74"/>
      <c r="O28" s="74"/>
      <c r="U28" s="74"/>
    </row>
    <row r="29" spans="2:29">
      <c r="C29" s="74"/>
      <c r="I29" s="74"/>
      <c r="O29" s="74"/>
      <c r="U29" s="74"/>
    </row>
    <row r="31" spans="2:29">
      <c r="B31" s="1" t="s">
        <v>126</v>
      </c>
      <c r="C31" s="74">
        <v>1</v>
      </c>
      <c r="D31" s="1" t="s">
        <v>10</v>
      </c>
      <c r="H31" s="1" t="s">
        <v>126</v>
      </c>
      <c r="I31" s="74" t="e">
        <f>IF('Cennik Produkcja '!#REF!&gt;0,1,0.0001)</f>
        <v>#REF!</v>
      </c>
      <c r="J31" s="1" t="s">
        <v>10</v>
      </c>
      <c r="N31" s="1" t="s">
        <v>126</v>
      </c>
      <c r="O31" s="74">
        <v>0</v>
      </c>
      <c r="P31" s="1" t="s">
        <v>10</v>
      </c>
      <c r="T31" s="1" t="s">
        <v>126</v>
      </c>
      <c r="U31" s="74">
        <v>0</v>
      </c>
      <c r="V31" s="1" t="s">
        <v>10</v>
      </c>
    </row>
    <row r="32" spans="2:29">
      <c r="B32" s="1" t="s">
        <v>127</v>
      </c>
      <c r="C32" s="74">
        <f>C25</f>
        <v>5.6923649999999997</v>
      </c>
      <c r="D32" s="1" t="s">
        <v>17</v>
      </c>
      <c r="H32" s="1" t="s">
        <v>127</v>
      </c>
      <c r="I32" s="74">
        <f>I25</f>
        <v>1.4542570319999999</v>
      </c>
      <c r="J32" s="1" t="s">
        <v>17</v>
      </c>
      <c r="N32" s="1" t="s">
        <v>127</v>
      </c>
      <c r="O32" s="74">
        <f>O25</f>
        <v>3.8211360000000001</v>
      </c>
      <c r="P32" s="1" t="s">
        <v>17</v>
      </c>
      <c r="T32" s="1" t="s">
        <v>127</v>
      </c>
      <c r="U32" s="74">
        <f>U25*1.1</f>
        <v>4.0194264000000013</v>
      </c>
      <c r="V32" s="1" t="s">
        <v>17</v>
      </c>
    </row>
    <row r="33" spans="1:28">
      <c r="B33" s="1" t="s">
        <v>120</v>
      </c>
      <c r="C33" s="74">
        <f>IF('Cennik Produkcja '!E120&gt;0,C13,0)</f>
        <v>0</v>
      </c>
      <c r="D33" s="1" t="s">
        <v>2</v>
      </c>
      <c r="H33" s="1" t="s">
        <v>120</v>
      </c>
      <c r="I33" s="74" t="e">
        <f>IF('Cennik Produkcja '!#REF!&gt;0,I13,0)</f>
        <v>#REF!</v>
      </c>
      <c r="J33" s="1" t="s">
        <v>2</v>
      </c>
      <c r="O33" s="74"/>
      <c r="T33" s="1" t="s">
        <v>120</v>
      </c>
      <c r="U33" s="74">
        <f>U13*1.1</f>
        <v>1.573</v>
      </c>
      <c r="V33" s="1" t="s">
        <v>2</v>
      </c>
    </row>
    <row r="34" spans="1:28">
      <c r="C34" s="74"/>
      <c r="I34" s="74"/>
      <c r="O34" s="74"/>
      <c r="U34" s="74"/>
    </row>
    <row r="35" spans="1:28">
      <c r="A35" s="54" t="s">
        <v>100</v>
      </c>
      <c r="B35" s="10" t="s">
        <v>4</v>
      </c>
      <c r="C35" s="10" t="s">
        <v>5</v>
      </c>
      <c r="D35" s="11"/>
      <c r="E35" s="181" t="s">
        <v>6</v>
      </c>
      <c r="F35" s="181" t="s">
        <v>7</v>
      </c>
      <c r="G35" s="54" t="s">
        <v>100</v>
      </c>
      <c r="H35" s="10" t="s">
        <v>4</v>
      </c>
      <c r="I35" s="10" t="s">
        <v>5</v>
      </c>
      <c r="J35" s="11"/>
      <c r="K35" s="181" t="s">
        <v>6</v>
      </c>
      <c r="L35" s="181" t="s">
        <v>7</v>
      </c>
      <c r="M35" s="54" t="s">
        <v>100</v>
      </c>
      <c r="N35" s="10" t="s">
        <v>4</v>
      </c>
      <c r="O35" s="10" t="s">
        <v>5</v>
      </c>
      <c r="P35" s="11"/>
      <c r="Q35" s="181" t="s">
        <v>6</v>
      </c>
      <c r="R35" s="181" t="s">
        <v>7</v>
      </c>
      <c r="S35" s="54" t="s">
        <v>100</v>
      </c>
      <c r="T35" s="10" t="s">
        <v>4</v>
      </c>
      <c r="U35" s="10" t="s">
        <v>5</v>
      </c>
      <c r="V35" s="11"/>
      <c r="W35" s="181" t="s">
        <v>6</v>
      </c>
      <c r="X35" s="181" t="s">
        <v>7</v>
      </c>
      <c r="Y35" s="11"/>
      <c r="Z35" s="11"/>
      <c r="AA35" s="10" t="s">
        <v>6</v>
      </c>
      <c r="AB35" s="10" t="s">
        <v>7</v>
      </c>
    </row>
    <row r="36" spans="1:28">
      <c r="A36" s="1" t="s">
        <v>176</v>
      </c>
      <c r="B36" s="7" t="s">
        <v>62</v>
      </c>
      <c r="C36" s="46">
        <f>C25</f>
        <v>5.6923649999999997</v>
      </c>
      <c r="D36" s="1" t="s">
        <v>17</v>
      </c>
      <c r="E36" s="195">
        <f>'Ceny składowe'!C6</f>
        <v>4.3</v>
      </c>
      <c r="F36" s="195">
        <f>C36*E36</f>
        <v>24.477169499999999</v>
      </c>
      <c r="G36" s="1" t="s">
        <v>176</v>
      </c>
      <c r="H36" s="7" t="s">
        <v>62</v>
      </c>
      <c r="I36" s="46">
        <f>I25</f>
        <v>1.4542570319999999</v>
      </c>
      <c r="J36" s="1" t="s">
        <v>17</v>
      </c>
      <c r="K36" s="195">
        <f>'Ceny składowe'!C6</f>
        <v>4.3</v>
      </c>
      <c r="L36" s="195">
        <f>I36*K36</f>
        <v>6.2533052375999993</v>
      </c>
      <c r="M36" s="1" t="s">
        <v>176</v>
      </c>
      <c r="N36" s="7" t="s">
        <v>62</v>
      </c>
      <c r="O36" s="46">
        <f>O25</f>
        <v>3.8211360000000001</v>
      </c>
      <c r="P36" s="1" t="s">
        <v>17</v>
      </c>
      <c r="Q36" s="195">
        <f>'Ceny składowe'!C6</f>
        <v>4.3</v>
      </c>
      <c r="R36" s="195">
        <f>O36*Q36</f>
        <v>16.430884800000001</v>
      </c>
      <c r="S36" s="1" t="s">
        <v>176</v>
      </c>
      <c r="T36" s="7" t="s">
        <v>62</v>
      </c>
      <c r="U36" s="46">
        <f>U25</f>
        <v>3.6540240000000006</v>
      </c>
      <c r="V36" s="1" t="s">
        <v>17</v>
      </c>
      <c r="W36" s="195">
        <f>'Ceny składowe'!C6</f>
        <v>4.3</v>
      </c>
      <c r="X36" s="195">
        <f>U36*W36</f>
        <v>15.712303200000003</v>
      </c>
      <c r="AA36" s="195">
        <v>3.6</v>
      </c>
      <c r="AB36" s="195">
        <f>AA36*C36</f>
        <v>20.492514</v>
      </c>
    </row>
    <row r="37" spans="1:28">
      <c r="A37" s="1" t="s">
        <v>557</v>
      </c>
      <c r="B37" s="7" t="s">
        <v>556</v>
      </c>
      <c r="C37" s="96">
        <f>IF(C5&lt;=350,0.02,IF(C5&lt;=450,0.025,IF(C5&gt;450,0.03)))</f>
        <v>0.03</v>
      </c>
      <c r="D37" s="1" t="s">
        <v>10</v>
      </c>
      <c r="E37" s="195">
        <f>'Ceny składowe'!C71</f>
        <v>14.9</v>
      </c>
      <c r="F37" s="195">
        <f>C37*E37</f>
        <v>0.44700000000000001</v>
      </c>
      <c r="G37" s="1" t="s">
        <v>557</v>
      </c>
      <c r="H37" s="7" t="s">
        <v>556</v>
      </c>
      <c r="I37" s="96">
        <f>IF(I5&lt;=350,0.02,IF(I5&lt;=450,0.025,IF(I5&gt;450,0.03)))</f>
        <v>0.02</v>
      </c>
      <c r="J37" s="1" t="s">
        <v>10</v>
      </c>
      <c r="K37" s="195">
        <f>'Ceny składowe'!C71</f>
        <v>14.9</v>
      </c>
      <c r="L37" s="195">
        <f>I37*K37</f>
        <v>0.29799999999999999</v>
      </c>
      <c r="M37" s="1" t="s">
        <v>555</v>
      </c>
      <c r="N37" s="7" t="s">
        <v>556</v>
      </c>
      <c r="O37" s="96">
        <f>IF(O5&lt;=350,0.02,IF(O5&lt;=450,0.025,IF(O5&gt;450,0.03)))</f>
        <v>0.02</v>
      </c>
      <c r="P37" s="1" t="s">
        <v>10</v>
      </c>
      <c r="Q37" s="195">
        <f>'Ceny składowe'!C71</f>
        <v>14.9</v>
      </c>
      <c r="R37" s="195">
        <f>O37*Q37</f>
        <v>0.29799999999999999</v>
      </c>
      <c r="S37" s="1" t="s">
        <v>555</v>
      </c>
      <c r="T37" s="7" t="s">
        <v>556</v>
      </c>
      <c r="U37" s="96">
        <f>IF(U5&lt;=350,0.02,IF(U5&lt;=450,0.025,IF(U5&gt;450,0.03)))</f>
        <v>0.03</v>
      </c>
      <c r="V37" s="1" t="s">
        <v>10</v>
      </c>
      <c r="W37" s="195">
        <f>'Ceny składowe'!C71</f>
        <v>14.9</v>
      </c>
      <c r="X37" s="195">
        <f>U37*W37</f>
        <v>0.44700000000000001</v>
      </c>
      <c r="AA37" s="53"/>
      <c r="AB37" s="53"/>
    </row>
    <row r="38" spans="1:28">
      <c r="A38" s="1" t="s">
        <v>206</v>
      </c>
      <c r="B38" s="7" t="s">
        <v>205</v>
      </c>
      <c r="C38" s="1">
        <v>1</v>
      </c>
      <c r="D38" s="1" t="s">
        <v>10</v>
      </c>
      <c r="E38" s="195">
        <f>'Ceny składowe'!C25</f>
        <v>0.16</v>
      </c>
      <c r="F38" s="195">
        <f>C38*E38</f>
        <v>0.16</v>
      </c>
      <c r="G38" s="1" t="s">
        <v>675</v>
      </c>
      <c r="H38" s="1" t="s">
        <v>709</v>
      </c>
      <c r="I38" s="74">
        <v>0.05</v>
      </c>
      <c r="J38" s="1" t="s">
        <v>10</v>
      </c>
      <c r="K38" s="195">
        <f>'Ceny składowe'!C78</f>
        <v>9.1</v>
      </c>
      <c r="L38" s="195">
        <f>I38*K38</f>
        <v>0.45500000000000002</v>
      </c>
      <c r="M38" s="1" t="s">
        <v>675</v>
      </c>
      <c r="N38" s="1" t="s">
        <v>709</v>
      </c>
      <c r="O38" s="1">
        <v>0.05</v>
      </c>
      <c r="P38" s="1" t="s">
        <v>10</v>
      </c>
      <c r="Q38" s="195">
        <f>'Ceny składowe'!C78</f>
        <v>9.1</v>
      </c>
      <c r="R38" s="195">
        <f>O38*Q38</f>
        <v>0.45500000000000002</v>
      </c>
      <c r="S38" s="1" t="s">
        <v>334</v>
      </c>
      <c r="T38" s="1" t="s">
        <v>120</v>
      </c>
      <c r="U38" s="74">
        <f>U33</f>
        <v>1.573</v>
      </c>
      <c r="V38" s="1" t="s">
        <v>2</v>
      </c>
      <c r="W38" s="195">
        <f>'Ceny składowe'!C34</f>
        <v>1.89</v>
      </c>
      <c r="X38" s="195">
        <f>U38*W38</f>
        <v>2.9729699999999997</v>
      </c>
    </row>
    <row r="39" spans="1:28">
      <c r="A39" s="1" t="s">
        <v>675</v>
      </c>
      <c r="B39" s="7" t="s">
        <v>709</v>
      </c>
      <c r="C39" s="1">
        <v>0.05</v>
      </c>
      <c r="D39" s="1" t="s">
        <v>10</v>
      </c>
      <c r="E39" s="195">
        <f>'Ceny składowe'!C78</f>
        <v>9.1</v>
      </c>
      <c r="F39" s="195">
        <f>C39*E39</f>
        <v>0.45500000000000002</v>
      </c>
      <c r="M39" s="1" t="s">
        <v>206</v>
      </c>
      <c r="N39" s="1" t="s">
        <v>756</v>
      </c>
      <c r="O39" s="46">
        <f>IF('Cennik Produkcja '!D183=0,0.0001,'Cennik Produkcja '!D183)</f>
        <v>1E-4</v>
      </c>
      <c r="P39" s="1" t="s">
        <v>10</v>
      </c>
      <c r="Q39" s="195">
        <f>'Ceny składowe'!C25</f>
        <v>0.16</v>
      </c>
      <c r="R39" s="620">
        <f>IF(O40&gt;1,20,0)</f>
        <v>0</v>
      </c>
      <c r="S39" s="1" t="s">
        <v>337</v>
      </c>
      <c r="T39" s="1" t="s">
        <v>144</v>
      </c>
      <c r="U39" s="1">
        <v>4</v>
      </c>
      <c r="V39" s="1" t="s">
        <v>10</v>
      </c>
      <c r="W39" s="195">
        <f>'Ceny składowe'!C20</f>
        <v>0.27</v>
      </c>
      <c r="X39" s="195">
        <f>U39*W39</f>
        <v>1.08</v>
      </c>
    </row>
    <row r="40" spans="1:28">
      <c r="K40" s="1" t="s">
        <v>301</v>
      </c>
      <c r="L40" s="198">
        <f>SUM(L36:L38)</f>
        <v>7.0063052375999995</v>
      </c>
      <c r="M40" s="1" t="s">
        <v>629</v>
      </c>
      <c r="N40" s="1" t="s">
        <v>757</v>
      </c>
      <c r="O40" s="46">
        <f>IF('Cennik Produkcja '!D183=0,0.0001,'Cennik Produkcja '!D183)</f>
        <v>1E-4</v>
      </c>
      <c r="P40" s="1" t="s">
        <v>10</v>
      </c>
      <c r="Q40" s="195">
        <v>0.6</v>
      </c>
      <c r="R40" s="620"/>
      <c r="S40" s="1" t="s">
        <v>675</v>
      </c>
      <c r="T40" s="1" t="s">
        <v>709</v>
      </c>
      <c r="U40" s="1">
        <v>0.05</v>
      </c>
      <c r="V40" s="1" t="s">
        <v>10</v>
      </c>
      <c r="W40" s="195">
        <f>'Ceny składowe'!C78</f>
        <v>9.1</v>
      </c>
      <c r="X40" s="195">
        <f>U40*W40</f>
        <v>0.45500000000000002</v>
      </c>
    </row>
    <row r="41" spans="1:28">
      <c r="E41" s="1" t="s">
        <v>301</v>
      </c>
      <c r="F41" s="195">
        <f>SUM(F36:F39)</f>
        <v>25.539169499999996</v>
      </c>
      <c r="H41" s="7" t="s">
        <v>439</v>
      </c>
      <c r="I41" s="195">
        <f>IF(I5&lt;=200,26.4,IF(I5&lt;=300,31.5,IF(I5&lt;400,32.2,IF(I5&lt;500,23.1,IF(I5&lt;=600,12,IF(I5&gt;600,50))))))</f>
        <v>32.200000000000003</v>
      </c>
      <c r="K41" s="1" t="s">
        <v>342</v>
      </c>
      <c r="L41" s="195">
        <f>I41+L40*5.1</f>
        <v>67.932156711760001</v>
      </c>
      <c r="S41" s="1" t="s">
        <v>206</v>
      </c>
      <c r="T41" s="1" t="s">
        <v>756</v>
      </c>
      <c r="U41" s="46">
        <f>IF('Cennik Produkcja '!D192=0,0.0001,'Cennik Produkcja '!D192)</f>
        <v>1E-4</v>
      </c>
      <c r="V41" s="1" t="s">
        <v>10</v>
      </c>
      <c r="W41" s="195">
        <f>'Ceny składowe'!C25</f>
        <v>0.16</v>
      </c>
      <c r="X41" s="620">
        <f>IF(U42&gt;1,20,0)</f>
        <v>0</v>
      </c>
    </row>
    <row r="42" spans="1:28">
      <c r="B42" s="7" t="s">
        <v>439</v>
      </c>
      <c r="C42" s="195">
        <f>IF(C5&lt;=200,26.4,IF(C5&lt;=300,31.5,IF(C5&lt;400,32.2,IF(C5&lt;500,26,IF(C5&lt;=600,3,IF(C5&gt;700,50))))))</f>
        <v>3</v>
      </c>
      <c r="E42" s="1" t="s">
        <v>342</v>
      </c>
      <c r="F42" s="195">
        <f>C42+F41*5.3</f>
        <v>138.35759834999999</v>
      </c>
      <c r="K42" s="129" t="s">
        <v>294</v>
      </c>
      <c r="L42" s="295">
        <f>(L41-H44)/H44</f>
        <v>1.5154183852288046</v>
      </c>
      <c r="P42" s="195"/>
      <c r="Q42" s="1" t="s">
        <v>301</v>
      </c>
      <c r="R42" s="195">
        <f>SUM(R36:R38)</f>
        <v>17.183884799999998</v>
      </c>
      <c r="S42" s="1" t="s">
        <v>629</v>
      </c>
      <c r="T42" s="1" t="s">
        <v>757</v>
      </c>
      <c r="U42" s="46">
        <f>IF('Cennik Produkcja '!D192=0,0.0001,'Cennik Produkcja '!D192)</f>
        <v>1E-4</v>
      </c>
      <c r="V42" s="1" t="s">
        <v>10</v>
      </c>
      <c r="W42" s="195">
        <v>0.6</v>
      </c>
      <c r="X42" s="620"/>
    </row>
    <row r="43" spans="1:28">
      <c r="E43" s="129" t="s">
        <v>294</v>
      </c>
      <c r="F43" s="234">
        <f>(F42-C45)/C45</f>
        <v>1.6334180701124328</v>
      </c>
      <c r="G43" s="256" t="s">
        <v>411</v>
      </c>
      <c r="H43" s="256">
        <f>IF(AND(I5&lt;200,I6&lt;200),18,IF(AND(I5&lt;300,I6&lt;300),19,IF(AND(I5&lt;500,I6&lt;500),20,IF(AND(I5&lt;=600,I6&lt;=200),20,IF(AND(I5&gt;=500,I6&gt;=500),22,IF(AND(I5&gt;600,I6&gt;=50),40))))))</f>
        <v>20</v>
      </c>
      <c r="M43" s="256" t="s">
        <v>411</v>
      </c>
      <c r="N43" s="256"/>
      <c r="P43" s="195"/>
      <c r="Q43" s="1" t="s">
        <v>342</v>
      </c>
      <c r="R43" s="195">
        <f>(R42*7.8)+R39</f>
        <v>134.03430143999998</v>
      </c>
    </row>
    <row r="44" spans="1:28">
      <c r="B44" s="267" t="s">
        <v>440</v>
      </c>
      <c r="C44" s="256">
        <f>IF(AND(C5&lt;400,C6&lt;400),22,IF(AND(C5&lt;500,C6&lt;500),24,IF(AND(C5&gt;=500,C6&gt;=500),27)))</f>
        <v>27</v>
      </c>
      <c r="G44" s="256" t="s">
        <v>441</v>
      </c>
      <c r="H44" s="261">
        <f>H43+L40</f>
        <v>27.006305237599999</v>
      </c>
      <c r="J44" s="195"/>
      <c r="M44" s="256" t="s">
        <v>441</v>
      </c>
      <c r="N44" s="261"/>
      <c r="P44" s="195"/>
      <c r="W44" s="1" t="s">
        <v>301</v>
      </c>
      <c r="X44" s="195">
        <f>SUM(X36:X40)</f>
        <v>20.667273200000004</v>
      </c>
    </row>
    <row r="45" spans="1:28">
      <c r="B45" s="267" t="s">
        <v>441</v>
      </c>
      <c r="C45" s="261">
        <f>C44+F41</f>
        <v>52.5391695</v>
      </c>
      <c r="E45" s="195"/>
      <c r="F45" s="195"/>
      <c r="S45" s="256" t="s">
        <v>411</v>
      </c>
      <c r="W45" s="1" t="s">
        <v>342</v>
      </c>
      <c r="X45" s="195">
        <f>(X44*6.5)+X41</f>
        <v>134.33727580000001</v>
      </c>
    </row>
    <row r="46" spans="1:28">
      <c r="H46" s="1" t="s">
        <v>233</v>
      </c>
      <c r="N46" s="1" t="s">
        <v>228</v>
      </c>
      <c r="O46" s="1" t="s">
        <v>324</v>
      </c>
      <c r="S46" s="256" t="s">
        <v>441</v>
      </c>
      <c r="W46" s="54" t="s">
        <v>294</v>
      </c>
      <c r="X46" s="234">
        <f>(X45-X44)/X44</f>
        <v>5.4999999999999991</v>
      </c>
    </row>
    <row r="47" spans="1:28">
      <c r="B47" s="1" t="s">
        <v>218</v>
      </c>
      <c r="N47" s="1" t="s">
        <v>325</v>
      </c>
    </row>
    <row r="49" spans="2:16">
      <c r="H49" s="1" t="s">
        <v>110</v>
      </c>
      <c r="I49" s="47">
        <f>'Cennik Produkcja '!D125</f>
        <v>505</v>
      </c>
      <c r="J49" s="1" t="s">
        <v>27</v>
      </c>
      <c r="N49" s="1" t="s">
        <v>110</v>
      </c>
      <c r="O49" s="47">
        <f>'Cennik Produkcja '!D197</f>
        <v>580</v>
      </c>
      <c r="P49" s="1" t="s">
        <v>27</v>
      </c>
    </row>
    <row r="50" spans="2:16">
      <c r="B50" s="1" t="s">
        <v>110</v>
      </c>
      <c r="C50" s="47">
        <f>'Cennik Produkcja '!D143</f>
        <v>500</v>
      </c>
      <c r="D50" s="1" t="s">
        <v>27</v>
      </c>
      <c r="H50" s="1" t="s">
        <v>111</v>
      </c>
      <c r="I50" s="47">
        <f>'Cennik Produkcja '!E125</f>
        <v>210</v>
      </c>
      <c r="J50" s="1" t="s">
        <v>27</v>
      </c>
      <c r="N50" s="1" t="s">
        <v>111</v>
      </c>
      <c r="O50" s="47">
        <f>'Cennik Produkcja '!E197</f>
        <v>210</v>
      </c>
      <c r="P50" s="1" t="s">
        <v>27</v>
      </c>
    </row>
    <row r="51" spans="2:16">
      <c r="B51" s="1" t="s">
        <v>111</v>
      </c>
      <c r="C51" s="47">
        <f>'Cennik Produkcja '!E143</f>
        <v>200</v>
      </c>
      <c r="D51" s="1" t="s">
        <v>27</v>
      </c>
      <c r="H51" s="1" t="s">
        <v>89</v>
      </c>
      <c r="I51" s="47">
        <f>'Cennik Produkcja '!D127</f>
        <v>300</v>
      </c>
      <c r="J51" s="1" t="s">
        <v>27</v>
      </c>
      <c r="N51" s="1" t="s">
        <v>399</v>
      </c>
      <c r="O51" s="47">
        <f>'Cennik Produkcja '!D199</f>
        <v>150</v>
      </c>
      <c r="P51" s="1" t="s">
        <v>27</v>
      </c>
    </row>
    <row r="52" spans="2:16">
      <c r="B52" s="1" t="s">
        <v>89</v>
      </c>
      <c r="C52" s="47">
        <f>'Cennik Produkcja '!D145</f>
        <v>80</v>
      </c>
      <c r="D52" s="1" t="s">
        <v>27</v>
      </c>
      <c r="H52" s="1" t="s">
        <v>208</v>
      </c>
      <c r="I52" s="47">
        <f>'Cennik Produkcja '!E127</f>
        <v>200</v>
      </c>
      <c r="J52" s="1" t="s">
        <v>27</v>
      </c>
      <c r="N52" s="1" t="s">
        <v>208</v>
      </c>
      <c r="O52" s="47">
        <f>'Cennik Produkcja '!E199</f>
        <v>160</v>
      </c>
      <c r="P52" s="1" t="s">
        <v>27</v>
      </c>
    </row>
    <row r="53" spans="2:16">
      <c r="B53" s="1" t="s">
        <v>208</v>
      </c>
      <c r="C53" s="47">
        <f>'Cennik Produkcja '!E145</f>
        <v>1</v>
      </c>
      <c r="D53" s="1" t="s">
        <v>27</v>
      </c>
      <c r="I53" s="47"/>
      <c r="N53" s="1" t="s">
        <v>304</v>
      </c>
      <c r="O53" s="47">
        <f>'Cennik Produkcja '!F199</f>
        <v>3</v>
      </c>
      <c r="P53" s="1" t="s">
        <v>27</v>
      </c>
    </row>
    <row r="54" spans="2:16">
      <c r="C54" s="47"/>
      <c r="H54" s="1" t="s">
        <v>117</v>
      </c>
      <c r="I54" s="47">
        <f>I52</f>
        <v>200</v>
      </c>
      <c r="J54" s="1" t="s">
        <v>27</v>
      </c>
      <c r="N54" s="1" t="s">
        <v>117</v>
      </c>
      <c r="O54" s="47">
        <f>'Cennik Produkcja '!E199</f>
        <v>160</v>
      </c>
      <c r="P54" s="1" t="s">
        <v>27</v>
      </c>
    </row>
    <row r="55" spans="2:16">
      <c r="B55" s="1" t="s">
        <v>117</v>
      </c>
      <c r="C55" s="47">
        <f>C53</f>
        <v>1</v>
      </c>
      <c r="D55" s="1" t="s">
        <v>27</v>
      </c>
      <c r="H55" s="1" t="s">
        <v>118</v>
      </c>
      <c r="I55" s="47"/>
      <c r="J55" s="1" t="s">
        <v>27</v>
      </c>
      <c r="N55" s="1" t="s">
        <v>118</v>
      </c>
      <c r="O55" s="47">
        <v>0</v>
      </c>
      <c r="P55" s="1" t="s">
        <v>27</v>
      </c>
    </row>
    <row r="56" spans="2:16">
      <c r="B56" s="1" t="s">
        <v>118</v>
      </c>
      <c r="C56" s="47"/>
      <c r="D56" s="1" t="s">
        <v>27</v>
      </c>
      <c r="H56" s="1" t="s">
        <v>119</v>
      </c>
      <c r="I56" s="74">
        <f>(I54*3.14*0.15)/1000</f>
        <v>9.4200000000000006E-2</v>
      </c>
      <c r="J56" s="1" t="s">
        <v>19</v>
      </c>
      <c r="N56" s="1" t="s">
        <v>119</v>
      </c>
      <c r="O56" s="74">
        <f>O53*((O54*3.14*0.15)/1000)</f>
        <v>0.22608</v>
      </c>
      <c r="P56" s="1" t="s">
        <v>19</v>
      </c>
    </row>
    <row r="57" spans="2:16">
      <c r="B57" s="1" t="s">
        <v>119</v>
      </c>
      <c r="C57" s="74">
        <f>(C55*3.14*0.15)/1000</f>
        <v>4.7099999999999996E-4</v>
      </c>
      <c r="D57" s="1" t="s">
        <v>19</v>
      </c>
      <c r="H57" s="1" t="s">
        <v>120</v>
      </c>
      <c r="I57" s="74">
        <f>(I49+I50+I49+I50)/1000</f>
        <v>1.43</v>
      </c>
      <c r="J57" s="1" t="s">
        <v>2</v>
      </c>
      <c r="N57" s="1" t="s">
        <v>120</v>
      </c>
      <c r="O57" s="74">
        <f>(O49+O50+O49+O50)/1000</f>
        <v>1.58</v>
      </c>
      <c r="P57" s="1" t="s">
        <v>2</v>
      </c>
    </row>
    <row r="58" spans="2:16">
      <c r="B58" s="1" t="s">
        <v>120</v>
      </c>
      <c r="C58" s="74">
        <f>(C50+C51+C50+C51)/1000</f>
        <v>1.4</v>
      </c>
      <c r="D58" s="1" t="s">
        <v>2</v>
      </c>
      <c r="I58" s="74"/>
      <c r="O58" s="74"/>
    </row>
    <row r="59" spans="2:16">
      <c r="C59" s="74"/>
      <c r="H59" s="1" t="s">
        <v>121</v>
      </c>
      <c r="I59" s="74">
        <f>(((I49*I51)*2)+((I50*I51)*2)+I49*I50)/1000000</f>
        <v>0.53505000000000003</v>
      </c>
      <c r="J59" s="1" t="s">
        <v>19</v>
      </c>
      <c r="N59" s="1" t="s">
        <v>121</v>
      </c>
      <c r="O59" s="74">
        <f>(((O49*O51)*2)+((O50*O51)*2)+O49*O50)/1000000</f>
        <v>0.35880000000000001</v>
      </c>
      <c r="P59" s="1" t="s">
        <v>19</v>
      </c>
    </row>
    <row r="60" spans="2:16">
      <c r="B60" s="1" t="s">
        <v>121</v>
      </c>
      <c r="C60" s="74">
        <f>(((C50*C52)*2)+((C51*C52)*2)+C50*C51)/1000000</f>
        <v>0.21199999999999999</v>
      </c>
      <c r="D60" s="1" t="s">
        <v>19</v>
      </c>
      <c r="H60" s="1" t="s">
        <v>122</v>
      </c>
      <c r="I60" s="74">
        <f>((I54/2)*(I54/2)*3.14)/1000000</f>
        <v>3.1399999999999997E-2</v>
      </c>
      <c r="J60" s="1" t="s">
        <v>19</v>
      </c>
      <c r="N60" s="1" t="s">
        <v>122</v>
      </c>
      <c r="O60" s="74">
        <f>((O54/2)*(O54/2)*3.14)/1000000</f>
        <v>2.0095999999999999E-2</v>
      </c>
      <c r="P60" s="1" t="s">
        <v>19</v>
      </c>
    </row>
    <row r="61" spans="2:16">
      <c r="B61" s="1" t="s">
        <v>122</v>
      </c>
      <c r="C61" s="74">
        <f>((C55/2)*(C55/2)*3.14)/1000000</f>
        <v>7.85E-7</v>
      </c>
      <c r="D61" s="1" t="s">
        <v>19</v>
      </c>
      <c r="I61" s="74"/>
      <c r="O61" s="74"/>
    </row>
    <row r="62" spans="2:16">
      <c r="C62" s="74"/>
      <c r="H62" s="1" t="s">
        <v>123</v>
      </c>
      <c r="I62" s="74">
        <f>I59-I60</f>
        <v>0.50365000000000004</v>
      </c>
      <c r="N62" s="1" t="s">
        <v>123</v>
      </c>
      <c r="O62" s="74">
        <f>O59-O60</f>
        <v>0.33870400000000001</v>
      </c>
    </row>
    <row r="63" spans="2:16">
      <c r="B63" s="1" t="s">
        <v>123</v>
      </c>
      <c r="C63" s="74">
        <f>C60-C61</f>
        <v>0.21199921499999999</v>
      </c>
      <c r="D63" s="1" t="s">
        <v>19</v>
      </c>
      <c r="H63" s="1" t="s">
        <v>125</v>
      </c>
      <c r="I63" s="74">
        <f>I62+I56</f>
        <v>0.59784999999999999</v>
      </c>
      <c r="N63" s="1" t="s">
        <v>125</v>
      </c>
      <c r="O63" s="74">
        <f>(O62+O56)*1.1</f>
        <v>0.62126239999999999</v>
      </c>
    </row>
    <row r="64" spans="2:16">
      <c r="B64" s="1" t="s">
        <v>125</v>
      </c>
      <c r="C64" s="74">
        <f>C63+C57</f>
        <v>0.21247021499999999</v>
      </c>
      <c r="D64" s="1" t="s">
        <v>19</v>
      </c>
    </row>
    <row r="65" spans="1:18">
      <c r="B65" s="1" t="s">
        <v>486</v>
      </c>
      <c r="C65" s="96">
        <f>(C50+80)*55/1000000</f>
        <v>3.1899999999999998E-2</v>
      </c>
      <c r="D65" s="1" t="s">
        <v>19</v>
      </c>
      <c r="I65" s="74"/>
      <c r="O65" s="74"/>
    </row>
    <row r="66" spans="1:18">
      <c r="C66" s="74"/>
      <c r="H66" s="1" t="s">
        <v>62</v>
      </c>
      <c r="I66" s="46">
        <v>0.6</v>
      </c>
      <c r="N66" s="1" t="s">
        <v>62</v>
      </c>
      <c r="O66" s="46">
        <v>0.6</v>
      </c>
    </row>
    <row r="67" spans="1:18">
      <c r="B67" s="1" t="s">
        <v>62</v>
      </c>
      <c r="C67" s="46">
        <v>0.6</v>
      </c>
      <c r="H67" s="1" t="s">
        <v>53</v>
      </c>
      <c r="I67" s="74">
        <v>8</v>
      </c>
      <c r="N67" s="1" t="s">
        <v>53</v>
      </c>
      <c r="O67" s="74">
        <v>8</v>
      </c>
    </row>
    <row r="68" spans="1:18">
      <c r="B68" s="1" t="s">
        <v>53</v>
      </c>
      <c r="C68" s="74">
        <v>8</v>
      </c>
      <c r="I68" s="74"/>
      <c r="O68" s="74"/>
    </row>
    <row r="69" spans="1:18">
      <c r="C69" s="74"/>
      <c r="H69" s="97" t="s">
        <v>115</v>
      </c>
      <c r="I69" s="98">
        <f>I66*I67*I63</f>
        <v>2.8696799999999998</v>
      </c>
      <c r="N69" s="97" t="s">
        <v>115</v>
      </c>
      <c r="O69" s="98">
        <f>O66*O67*O63</f>
        <v>2.98205952</v>
      </c>
    </row>
    <row r="70" spans="1:18">
      <c r="B70" s="97" t="s">
        <v>115</v>
      </c>
      <c r="C70" s="98">
        <f>C67*C68*(C64+C65)</f>
        <v>1.1729770319999999</v>
      </c>
      <c r="H70" s="97" t="s">
        <v>116</v>
      </c>
      <c r="I70" s="98">
        <f>I69/1000</f>
        <v>2.8696799999999999E-3</v>
      </c>
      <c r="J70" s="97"/>
      <c r="N70" s="97" t="s">
        <v>116</v>
      </c>
      <c r="O70" s="98">
        <f>O69/1000</f>
        <v>2.9820595200000001E-3</v>
      </c>
      <c r="P70" s="97"/>
    </row>
    <row r="71" spans="1:18">
      <c r="B71" s="97" t="s">
        <v>116</v>
      </c>
      <c r="C71" s="98">
        <f>C70/1000</f>
        <v>1.1729770319999998E-3</v>
      </c>
      <c r="D71" s="97"/>
      <c r="I71" s="74"/>
      <c r="O71" s="74"/>
    </row>
    <row r="72" spans="1:18">
      <c r="C72" s="74"/>
    </row>
    <row r="73" spans="1:18">
      <c r="C73" s="74"/>
      <c r="N73" s="1" t="s">
        <v>126</v>
      </c>
      <c r="O73" s="74">
        <v>0</v>
      </c>
      <c r="P73" s="1" t="s">
        <v>10</v>
      </c>
    </row>
    <row r="74" spans="1:18">
      <c r="C74" s="74"/>
      <c r="N74" s="1" t="s">
        <v>127</v>
      </c>
      <c r="O74" s="74">
        <f>O69</f>
        <v>2.98205952</v>
      </c>
      <c r="P74" s="1" t="s">
        <v>17</v>
      </c>
    </row>
    <row r="75" spans="1:18">
      <c r="I75" s="74"/>
      <c r="N75" s="1" t="s">
        <v>120</v>
      </c>
      <c r="O75" s="74" t="e">
        <f>IF('Cennik Produkcja '!#REF!&gt;0,O57,0)</f>
        <v>#REF!</v>
      </c>
      <c r="P75" s="1" t="s">
        <v>2</v>
      </c>
    </row>
    <row r="76" spans="1:18">
      <c r="B76" s="1" t="s">
        <v>126</v>
      </c>
      <c r="C76" s="74">
        <f>IF('Cennik Produkcja '!D292&gt;0,1,0.0001)</f>
        <v>1</v>
      </c>
      <c r="D76" s="1" t="s">
        <v>10</v>
      </c>
      <c r="H76" s="1" t="s">
        <v>127</v>
      </c>
      <c r="I76" s="74">
        <f>I69</f>
        <v>2.8696799999999998</v>
      </c>
      <c r="J76" s="1" t="s">
        <v>17</v>
      </c>
      <c r="O76" s="74"/>
    </row>
    <row r="77" spans="1:18">
      <c r="B77" s="1" t="s">
        <v>127</v>
      </c>
      <c r="C77" s="74">
        <f>C70</f>
        <v>1.1729770319999999</v>
      </c>
      <c r="D77" s="1" t="s">
        <v>17</v>
      </c>
      <c r="H77" s="1" t="s">
        <v>120</v>
      </c>
      <c r="I77" s="74" t="e">
        <f>IF('Cennik Produkcja '!#REF!&gt;0,I57,0)</f>
        <v>#REF!</v>
      </c>
      <c r="J77" s="1" t="s">
        <v>2</v>
      </c>
      <c r="O77" s="74"/>
    </row>
    <row r="78" spans="1:18">
      <c r="B78" s="1" t="s">
        <v>120</v>
      </c>
      <c r="C78" s="74">
        <f>IF('Cennik Produkcja '!E292&gt;0,C58,0)</f>
        <v>1.4</v>
      </c>
      <c r="D78" s="1" t="s">
        <v>2</v>
      </c>
      <c r="I78" s="74"/>
      <c r="O78" s="74"/>
    </row>
    <row r="79" spans="1:18">
      <c r="C79" s="74"/>
      <c r="G79" s="54" t="s">
        <v>100</v>
      </c>
      <c r="H79" s="10" t="s">
        <v>4</v>
      </c>
      <c r="I79" s="10" t="s">
        <v>5</v>
      </c>
      <c r="J79" s="11"/>
      <c r="K79" s="54" t="s">
        <v>6</v>
      </c>
      <c r="L79" s="181" t="s">
        <v>7</v>
      </c>
      <c r="M79" s="54" t="s">
        <v>100</v>
      </c>
      <c r="N79" s="10" t="s">
        <v>4</v>
      </c>
      <c r="O79" s="10" t="s">
        <v>5</v>
      </c>
      <c r="P79" s="11"/>
      <c r="Q79" s="10" t="s">
        <v>6</v>
      </c>
      <c r="R79" s="10" t="s">
        <v>7</v>
      </c>
    </row>
    <row r="80" spans="1:18">
      <c r="A80" s="54" t="s">
        <v>100</v>
      </c>
      <c r="B80" s="10" t="s">
        <v>4</v>
      </c>
      <c r="C80" s="10" t="s">
        <v>5</v>
      </c>
      <c r="D80" s="11"/>
      <c r="E80" s="54" t="s">
        <v>6</v>
      </c>
      <c r="F80" s="181" t="s">
        <v>7</v>
      </c>
      <c r="G80" s="1" t="s">
        <v>176</v>
      </c>
      <c r="H80" s="7" t="s">
        <v>62</v>
      </c>
      <c r="I80" s="46">
        <f>I69</f>
        <v>2.8696799999999998</v>
      </c>
      <c r="J80" s="1" t="s">
        <v>17</v>
      </c>
      <c r="K80" s="195">
        <f>'Ceny składowe'!C6</f>
        <v>4.3</v>
      </c>
      <c r="L80" s="195">
        <f>I80*K80</f>
        <v>12.339623999999999</v>
      </c>
      <c r="M80" s="1" t="s">
        <v>176</v>
      </c>
      <c r="N80" s="7" t="s">
        <v>62</v>
      </c>
      <c r="O80" s="46">
        <f>O69</f>
        <v>2.98205952</v>
      </c>
      <c r="P80" s="1" t="s">
        <v>17</v>
      </c>
      <c r="Q80" s="195">
        <f>'Ceny składowe'!C6</f>
        <v>4.3</v>
      </c>
      <c r="R80" s="198">
        <f>O80*Q80</f>
        <v>12.822855936</v>
      </c>
    </row>
    <row r="81" spans="1:19">
      <c r="A81" s="1" t="s">
        <v>176</v>
      </c>
      <c r="B81" s="7" t="s">
        <v>62</v>
      </c>
      <c r="C81" s="46">
        <f>C70</f>
        <v>1.1729770319999999</v>
      </c>
      <c r="D81" s="1" t="s">
        <v>17</v>
      </c>
      <c r="E81" s="195">
        <f>'Ceny składowe'!C6</f>
        <v>4.3</v>
      </c>
      <c r="F81" s="195">
        <f>C81*E81</f>
        <v>5.0438012375999994</v>
      </c>
      <c r="G81" s="1" t="s">
        <v>334</v>
      </c>
      <c r="H81" s="7" t="s">
        <v>120</v>
      </c>
      <c r="I81" s="74">
        <f>I57*1.1</f>
        <v>1.573</v>
      </c>
      <c r="J81" s="1" t="s">
        <v>2</v>
      </c>
      <c r="K81" s="195">
        <f>'Ceny składowe'!C34</f>
        <v>1.89</v>
      </c>
      <c r="L81" s="195">
        <f>I81*K81</f>
        <v>2.9729699999999997</v>
      </c>
      <c r="M81" s="1" t="s">
        <v>555</v>
      </c>
      <c r="N81" s="7" t="s">
        <v>556</v>
      </c>
      <c r="O81" s="96">
        <f>IF(O50&lt;=350,0.02,IF(O50&lt;=450,0.025,IF(O50&gt;450,0.03)))</f>
        <v>0.02</v>
      </c>
      <c r="P81" s="1" t="s">
        <v>10</v>
      </c>
      <c r="Q81" s="195">
        <f>'Ceny składowe'!C71</f>
        <v>14.9</v>
      </c>
      <c r="R81" s="195">
        <f>O81*Q81</f>
        <v>0.29799999999999999</v>
      </c>
    </row>
    <row r="82" spans="1:19">
      <c r="A82" s="1" t="s">
        <v>206</v>
      </c>
      <c r="B82" s="7" t="s">
        <v>205</v>
      </c>
      <c r="C82" s="1">
        <v>1</v>
      </c>
      <c r="D82" s="1" t="s">
        <v>10</v>
      </c>
      <c r="E82" s="195">
        <f>'Ceny składowe'!C25</f>
        <v>0.16</v>
      </c>
      <c r="F82" s="195">
        <f>C82*E82</f>
        <v>0.16</v>
      </c>
      <c r="G82" s="1" t="s">
        <v>557</v>
      </c>
      <c r="H82" s="7" t="s">
        <v>556</v>
      </c>
      <c r="I82" s="96">
        <f>IF(I49&lt;=350,0.02,IF(I49&lt;=450,0.025,IF(I49&gt;450,0.03)))</f>
        <v>0.03</v>
      </c>
      <c r="J82" s="1" t="s">
        <v>10</v>
      </c>
      <c r="K82" s="195">
        <f>'Ceny składowe'!C71</f>
        <v>14.9</v>
      </c>
      <c r="L82" s="195">
        <f>I82*K82</f>
        <v>0.44700000000000001</v>
      </c>
      <c r="M82" s="291" t="str">
        <f>VLOOKUP(1,M95:N100,2,FALSE)</f>
        <v>KAUCZUK 10MM</v>
      </c>
      <c r="N82" s="1" t="s">
        <v>326</v>
      </c>
      <c r="O82" s="46">
        <f>O59</f>
        <v>0.35880000000000001</v>
      </c>
      <c r="P82" s="1" t="s">
        <v>19</v>
      </c>
      <c r="Q82" s="292">
        <f>IF(M93=O95,Q95,IF(M93=O96,Q96,IF(M93=O97,Q97,IF(M93=O98,Q98,IF(M93=O99,Q99)))))</f>
        <v>26.81</v>
      </c>
      <c r="R82" s="195">
        <f>O82*Q82</f>
        <v>9.6194279999999992</v>
      </c>
      <c r="S82" s="198"/>
    </row>
    <row r="83" spans="1:19">
      <c r="A83" s="1" t="s">
        <v>555</v>
      </c>
      <c r="B83" s="7" t="s">
        <v>556</v>
      </c>
      <c r="C83" s="96">
        <f>IF(C50&lt;=350,0.02,IF(C50&lt;=450,0.025,IF(C50&gt;450,0.03)))</f>
        <v>0.03</v>
      </c>
      <c r="D83" s="1" t="s">
        <v>10</v>
      </c>
      <c r="E83" s="195">
        <f>'Ceny składowe'!C71</f>
        <v>14.9</v>
      </c>
      <c r="F83" s="195">
        <f>C83*E83</f>
        <v>0.44700000000000001</v>
      </c>
      <c r="G83" s="1" t="s">
        <v>337</v>
      </c>
      <c r="H83" s="1" t="s">
        <v>144</v>
      </c>
      <c r="I83" s="1">
        <v>4</v>
      </c>
      <c r="J83" s="1" t="s">
        <v>10</v>
      </c>
      <c r="K83" s="195">
        <f>'Ceny składowe'!C20</f>
        <v>0.27</v>
      </c>
      <c r="L83" s="195">
        <f>I83*K83</f>
        <v>1.08</v>
      </c>
      <c r="M83" s="1" t="s">
        <v>206</v>
      </c>
      <c r="N83" s="1" t="s">
        <v>756</v>
      </c>
      <c r="O83" s="46">
        <f>IF('Cennik Produkcja '!F201=0,0.0001,'Cennik Produkcja '!F201)</f>
        <v>1E-4</v>
      </c>
      <c r="P83" s="1" t="s">
        <v>10</v>
      </c>
      <c r="Q83" s="195">
        <f>'Ceny składowe'!C25</f>
        <v>0.16</v>
      </c>
      <c r="R83" s="620">
        <f>IF(O84&gt;1,20,0)</f>
        <v>0</v>
      </c>
      <c r="S83" s="198"/>
    </row>
    <row r="84" spans="1:19">
      <c r="A84" s="291" t="str">
        <f>VLOOKUP(1,A93:B98,2,FALSE)</f>
        <v>KAUCZUK 10MM</v>
      </c>
      <c r="B84" s="7" t="s">
        <v>196</v>
      </c>
      <c r="C84" s="74">
        <f>C60</f>
        <v>0.21199999999999999</v>
      </c>
      <c r="D84" s="1" t="s">
        <v>19</v>
      </c>
      <c r="E84" s="292">
        <f>IF(A91=C93,E93,IF(A91=C94,E94,IF(A91=C95,E95,IF(A91=C96,E96,IF(A91=C97,E97)))))</f>
        <v>26.81</v>
      </c>
      <c r="F84" s="195">
        <f>C84*E84</f>
        <v>5.6837199999999992</v>
      </c>
      <c r="G84" s="1" t="s">
        <v>675</v>
      </c>
      <c r="H84" s="1" t="s">
        <v>709</v>
      </c>
      <c r="I84" s="1">
        <v>0.05</v>
      </c>
      <c r="J84" s="1" t="s">
        <v>10</v>
      </c>
      <c r="K84" s="195">
        <f>'Ceny składowe'!C78</f>
        <v>9.1</v>
      </c>
      <c r="L84" s="195">
        <f>I84*K84</f>
        <v>0.45500000000000002</v>
      </c>
      <c r="M84" s="1" t="s">
        <v>629</v>
      </c>
      <c r="N84" s="1" t="s">
        <v>757</v>
      </c>
      <c r="O84" s="46">
        <f>IF('Cennik Produkcja '!F201=0,0.0001,'Cennik Produkcja '!F201)</f>
        <v>1E-4</v>
      </c>
      <c r="P84" s="1" t="s">
        <v>10</v>
      </c>
      <c r="Q84" s="195">
        <v>0.6</v>
      </c>
      <c r="R84" s="620"/>
    </row>
    <row r="85" spans="1:19">
      <c r="L85" s="54"/>
      <c r="N85" s="7"/>
      <c r="Q85" s="54"/>
      <c r="R85" s="54"/>
      <c r="S85" s="289"/>
    </row>
    <row r="86" spans="1:19">
      <c r="E86" s="1" t="s">
        <v>301</v>
      </c>
      <c r="F86" s="195">
        <f>F81+F82+F83+F84+C87</f>
        <v>50.034521237600003</v>
      </c>
      <c r="K86" s="1" t="s">
        <v>301</v>
      </c>
      <c r="L86" s="195">
        <f>SUM(L80:L84)</f>
        <v>17.294593999999996</v>
      </c>
      <c r="N86" s="7"/>
      <c r="O86" s="74"/>
      <c r="Q86" s="1" t="s">
        <v>301</v>
      </c>
      <c r="R86" s="197">
        <f>R80+R81+R82</f>
        <v>22.740283935999997</v>
      </c>
      <c r="S86" s="289"/>
    </row>
    <row r="87" spans="1:19">
      <c r="B87" s="268" t="s">
        <v>439</v>
      </c>
      <c r="C87" s="303">
        <f>IF(C51&lt;200,36,IF(C51&lt;400,38.7,IF(C51&lt;500,35,IF(C51&gt;=500,50))))</f>
        <v>38.700000000000003</v>
      </c>
      <c r="E87" s="1" t="s">
        <v>342</v>
      </c>
      <c r="F87" s="195">
        <f>F86*2.11</f>
        <v>105.572839811336</v>
      </c>
      <c r="H87" s="268" t="s">
        <v>439</v>
      </c>
      <c r="I87" s="269">
        <f>IF(I49&lt;=200,26.4,IF(I49&lt;=300,31.5,IF(I49&lt;400,32.2,IF(I49&lt;500,23.1,IF(I49&lt;=600,12,IF(I49&gt;600,50))))))</f>
        <v>12</v>
      </c>
      <c r="K87" s="1" t="s">
        <v>342</v>
      </c>
      <c r="L87" s="195">
        <f>I87+L86*4.7</f>
        <v>93.284591799999987</v>
      </c>
      <c r="Q87" s="1" t="s">
        <v>342</v>
      </c>
      <c r="R87" s="195">
        <f>IF(O51&lt;=50,R86*9,IF(O51&lt;=100,R86*9,IF(O51&lt;=150,R86*7.5,IF(O51&lt;=200,R86*6.5,IF(O51&gt;200,R86*6)))))+R83</f>
        <v>170.55212951999999</v>
      </c>
      <c r="S87" s="120"/>
    </row>
    <row r="88" spans="1:19">
      <c r="C88" s="256"/>
      <c r="Q88" s="125" t="s">
        <v>294</v>
      </c>
      <c r="R88" s="281">
        <f>(R87-R86)/R86</f>
        <v>6.5000000000000009</v>
      </c>
    </row>
    <row r="89" spans="1:19">
      <c r="B89" s="267" t="s">
        <v>440</v>
      </c>
      <c r="C89" s="261"/>
      <c r="E89" s="54"/>
      <c r="F89" s="195"/>
      <c r="H89" s="267" t="s">
        <v>440</v>
      </c>
      <c r="N89" s="267" t="s">
        <v>440</v>
      </c>
    </row>
    <row r="90" spans="1:19">
      <c r="A90" s="291">
        <f>'Cennik Produkcja '!D147</f>
        <v>10</v>
      </c>
      <c r="B90" s="267" t="s">
        <v>441</v>
      </c>
      <c r="C90" s="195"/>
      <c r="H90" s="267" t="s">
        <v>441</v>
      </c>
      <c r="N90" s="267" t="s">
        <v>441</v>
      </c>
    </row>
    <row r="91" spans="1:19">
      <c r="A91" s="291">
        <f>IF(A90&lt;=10,9,IF(A90&lt;=15,13,IF(A90&lt;=20,19,IF(A90&lt;=25,25,IF(A90&lt;=35,32)))))</f>
        <v>9</v>
      </c>
    </row>
    <row r="92" spans="1:19">
      <c r="M92" s="291">
        <f>'Cennik Produkcja '!D201</f>
        <v>10</v>
      </c>
    </row>
    <row r="93" spans="1:19">
      <c r="A93" s="291">
        <f>IF($A91=C93,1,0)</f>
        <v>1</v>
      </c>
      <c r="B93" s="291" t="s">
        <v>621</v>
      </c>
      <c r="C93" s="291">
        <v>9</v>
      </c>
      <c r="D93" s="291"/>
      <c r="E93" s="292">
        <f>'Ceny składowe'!C13</f>
        <v>26.81</v>
      </c>
      <c r="M93" s="291">
        <f>IF(M92&lt;=10,9,IF(M92&lt;=15,13,IF(M92&lt;=20,19,IF(M92&lt;=25,25,IF(M92&lt;=35,32)))))</f>
        <v>9</v>
      </c>
    </row>
    <row r="94" spans="1:19">
      <c r="A94" s="291">
        <f>IF($A91=C94,1,0)</f>
        <v>0</v>
      </c>
      <c r="B94" s="291" t="s">
        <v>513</v>
      </c>
      <c r="C94" s="291">
        <v>13</v>
      </c>
      <c r="D94" s="291"/>
      <c r="E94" s="292">
        <f>'Ceny składowe'!C14</f>
        <v>28.21</v>
      </c>
    </row>
    <row r="95" spans="1:19">
      <c r="A95" s="291">
        <f>IF($A91=C95,1,0)</f>
        <v>0</v>
      </c>
      <c r="B95" s="291" t="s">
        <v>481</v>
      </c>
      <c r="C95" s="291">
        <v>19</v>
      </c>
      <c r="D95" s="291"/>
      <c r="E95" s="292">
        <f>'Ceny składowe'!C15</f>
        <v>38.35</v>
      </c>
      <c r="M95" s="291">
        <f>IF($M93=O95,1,0)</f>
        <v>1</v>
      </c>
      <c r="N95" s="291" t="s">
        <v>621</v>
      </c>
      <c r="O95" s="291">
        <v>9</v>
      </c>
      <c r="P95" s="291"/>
      <c r="Q95" s="292">
        <f>'Ceny składowe'!C13</f>
        <v>26.81</v>
      </c>
      <c r="R95" s="292"/>
    </row>
    <row r="96" spans="1:19">
      <c r="A96" s="291">
        <f>IF($A91=C96,1,0)</f>
        <v>0</v>
      </c>
      <c r="B96" s="291" t="s">
        <v>215</v>
      </c>
      <c r="C96" s="291">
        <v>25</v>
      </c>
      <c r="D96" s="291"/>
      <c r="E96" s="292">
        <f>'Ceny składowe'!C12</f>
        <v>45.27</v>
      </c>
      <c r="M96" s="291">
        <f>IF($M93=O96,1,0)</f>
        <v>0</v>
      </c>
      <c r="N96" s="291" t="s">
        <v>513</v>
      </c>
      <c r="O96" s="291">
        <v>13</v>
      </c>
      <c r="P96" s="291"/>
      <c r="Q96" s="292">
        <f>'Ceny składowe'!C14</f>
        <v>28.21</v>
      </c>
      <c r="R96" s="292"/>
    </row>
    <row r="97" spans="1:18">
      <c r="A97" s="291">
        <f>IF($A91=C97,1,0)</f>
        <v>0</v>
      </c>
      <c r="B97" s="291" t="s">
        <v>514</v>
      </c>
      <c r="C97" s="291">
        <v>32</v>
      </c>
      <c r="D97" s="291"/>
      <c r="E97" s="292">
        <f>'Ceny składowe'!C16</f>
        <v>57.07</v>
      </c>
      <c r="M97" s="291">
        <f>IF($M93=O97,1,0)</f>
        <v>0</v>
      </c>
      <c r="N97" s="291" t="s">
        <v>481</v>
      </c>
      <c r="O97" s="291">
        <v>19</v>
      </c>
      <c r="P97" s="291"/>
      <c r="Q97" s="292">
        <f>'Ceny składowe'!C15</f>
        <v>38.35</v>
      </c>
      <c r="R97" s="292"/>
    </row>
    <row r="98" spans="1:18">
      <c r="M98" s="291">
        <f>IF($M93=O98,1,0)</f>
        <v>0</v>
      </c>
      <c r="N98" s="291" t="s">
        <v>215</v>
      </c>
      <c r="O98" s="291">
        <v>25</v>
      </c>
      <c r="P98" s="291"/>
      <c r="Q98" s="292">
        <f>'Ceny składowe'!C12</f>
        <v>45.27</v>
      </c>
      <c r="R98" s="292"/>
    </row>
    <row r="99" spans="1:18">
      <c r="M99" s="291">
        <f>IF($M93=O99,1,0)</f>
        <v>0</v>
      </c>
      <c r="N99" s="291" t="s">
        <v>514</v>
      </c>
      <c r="O99" s="291">
        <v>32</v>
      </c>
      <c r="P99" s="291"/>
      <c r="Q99" s="292">
        <f>'Ceny składowe'!C16</f>
        <v>57.07</v>
      </c>
      <c r="R99" s="292"/>
    </row>
  </sheetData>
  <mergeCells count="3">
    <mergeCell ref="R39:R40"/>
    <mergeCell ref="X41:X42"/>
    <mergeCell ref="R83:R8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FE4F-8414-49F6-B0BE-E44CEE2D6C84}">
  <dimension ref="A2:R43"/>
  <sheetViews>
    <sheetView workbookViewId="0">
      <selection activeCell="A30" sqref="A30"/>
    </sheetView>
  </sheetViews>
  <sheetFormatPr defaultRowHeight="14.4"/>
  <cols>
    <col min="1" max="1" width="33.109375" customWidth="1"/>
    <col min="2" max="2" width="32.33203125" customWidth="1"/>
    <col min="3" max="3" width="17.6640625" customWidth="1"/>
    <col min="4" max="4" width="8.5546875" customWidth="1"/>
    <col min="5" max="5" width="9.44140625" customWidth="1"/>
    <col min="7" max="7" width="27.6640625" customWidth="1"/>
    <col min="8" max="8" width="34.33203125" customWidth="1"/>
    <col min="9" max="9" width="17.6640625" customWidth="1"/>
    <col min="13" max="13" width="32.44140625" customWidth="1"/>
    <col min="14" max="14" width="45.33203125" customWidth="1"/>
    <col min="15" max="15" width="18.33203125" customWidth="1"/>
    <col min="17" max="17" width="11.88671875" customWidth="1"/>
  </cols>
  <sheetData>
    <row r="2" spans="2:16">
      <c r="B2" s="1" t="s">
        <v>483</v>
      </c>
      <c r="C2" s="1"/>
      <c r="D2" s="1"/>
      <c r="H2" s="1" t="s">
        <v>484</v>
      </c>
      <c r="I2" s="1"/>
      <c r="J2" s="1"/>
      <c r="N2" s="1" t="s">
        <v>485</v>
      </c>
      <c r="O2" s="1"/>
      <c r="P2" s="1"/>
    </row>
    <row r="3" spans="2:16">
      <c r="B3" s="1"/>
      <c r="C3" s="1"/>
      <c r="D3" s="1"/>
      <c r="H3" s="1"/>
      <c r="I3" s="1"/>
      <c r="J3" s="1"/>
      <c r="N3" s="1"/>
      <c r="O3" s="1"/>
      <c r="P3" s="1"/>
    </row>
    <row r="4" spans="2:16">
      <c r="B4" s="1" t="s">
        <v>240</v>
      </c>
      <c r="C4" s="47">
        <f>'Cennik Produkcja '!D152</f>
        <v>315</v>
      </c>
      <c r="D4" s="1" t="s">
        <v>27</v>
      </c>
      <c r="H4" s="1" t="s">
        <v>240</v>
      </c>
      <c r="I4" s="47">
        <f>'Cennik Produkcja '!D161</f>
        <v>340</v>
      </c>
      <c r="J4" s="1" t="s">
        <v>27</v>
      </c>
      <c r="N4" s="1" t="s">
        <v>240</v>
      </c>
      <c r="O4" s="47">
        <f>'Cennik Produkcja '!D170</f>
        <v>390</v>
      </c>
      <c r="P4" s="1" t="s">
        <v>27</v>
      </c>
    </row>
    <row r="5" spans="2:16">
      <c r="B5" s="1" t="s">
        <v>89</v>
      </c>
      <c r="C5" s="47">
        <f>'Cennik Produkcja '!E152</f>
        <v>250</v>
      </c>
      <c r="D5" s="1" t="s">
        <v>27</v>
      </c>
      <c r="H5" s="1" t="s">
        <v>89</v>
      </c>
      <c r="I5" s="47">
        <f>'Cennik Produkcja '!E161</f>
        <v>225</v>
      </c>
      <c r="J5" s="1" t="s">
        <v>27</v>
      </c>
      <c r="N5" s="1" t="s">
        <v>89</v>
      </c>
      <c r="O5" s="47">
        <f>'Cennik Produkcja '!E170</f>
        <v>250</v>
      </c>
      <c r="P5" s="1" t="s">
        <v>27</v>
      </c>
    </row>
    <row r="6" spans="2:16">
      <c r="B6" s="1" t="s">
        <v>208</v>
      </c>
      <c r="C6" s="47">
        <f>'Cennik Produkcja '!E154</f>
        <v>125</v>
      </c>
      <c r="D6" s="1" t="s">
        <v>27</v>
      </c>
      <c r="H6" s="1" t="s">
        <v>208</v>
      </c>
      <c r="I6" s="47">
        <f>'Cennik Produkcja '!E163</f>
        <v>125</v>
      </c>
      <c r="J6" s="1" t="s">
        <v>27</v>
      </c>
      <c r="N6" s="1" t="s">
        <v>208</v>
      </c>
      <c r="O6" s="47">
        <f>'Cennik Produkcja '!E172</f>
        <v>160</v>
      </c>
      <c r="P6" s="1" t="s">
        <v>27</v>
      </c>
    </row>
    <row r="7" spans="2:16">
      <c r="B7" s="1"/>
      <c r="C7" s="47"/>
      <c r="D7" s="1"/>
      <c r="H7" s="1"/>
      <c r="I7" s="47"/>
      <c r="J7" s="1"/>
      <c r="N7" s="1"/>
      <c r="O7" s="47"/>
      <c r="P7" s="1"/>
    </row>
    <row r="8" spans="2:16">
      <c r="B8" s="1" t="s">
        <v>117</v>
      </c>
      <c r="C8" s="47">
        <f>C6</f>
        <v>125</v>
      </c>
      <c r="D8" s="1" t="s">
        <v>27</v>
      </c>
      <c r="H8" s="1" t="s">
        <v>117</v>
      </c>
      <c r="I8" s="47">
        <f>I6</f>
        <v>125</v>
      </c>
      <c r="J8" s="1" t="s">
        <v>27</v>
      </c>
      <c r="N8" s="1" t="s">
        <v>117</v>
      </c>
      <c r="O8" s="47">
        <f>O6</f>
        <v>160</v>
      </c>
      <c r="P8" s="1" t="s">
        <v>27</v>
      </c>
    </row>
    <row r="9" spans="2:16">
      <c r="B9" s="1" t="s">
        <v>119</v>
      </c>
      <c r="C9" s="74">
        <f>(C8*3.14*0.15)/1000</f>
        <v>5.8874999999999997E-2</v>
      </c>
      <c r="D9" s="1" t="s">
        <v>19</v>
      </c>
      <c r="H9" s="1" t="s">
        <v>119</v>
      </c>
      <c r="I9" s="74">
        <f>(I8*3.14*0.15)/1000</f>
        <v>5.8874999999999997E-2</v>
      </c>
      <c r="J9" s="1" t="s">
        <v>19</v>
      </c>
      <c r="N9" s="1" t="s">
        <v>119</v>
      </c>
      <c r="O9" s="74">
        <f>(O8*3.14*0.15)/1000</f>
        <v>7.5359999999999996E-2</v>
      </c>
      <c r="P9" s="1" t="s">
        <v>19</v>
      </c>
    </row>
    <row r="10" spans="2:16">
      <c r="B10" s="1"/>
      <c r="C10" s="74"/>
      <c r="D10" s="1"/>
      <c r="H10" s="1"/>
      <c r="I10" s="74"/>
      <c r="J10" s="1"/>
      <c r="N10" s="1"/>
      <c r="O10" s="74"/>
      <c r="P10" s="1"/>
    </row>
    <row r="11" spans="2:16">
      <c r="B11" s="1" t="s">
        <v>121</v>
      </c>
      <c r="C11" s="74">
        <f>((3.14*(C4/2)^2)+(((3.14*C4)+10)*(C5+10)))/1000000</f>
        <v>0.33765762500000002</v>
      </c>
      <c r="D11" s="1" t="s">
        <v>19</v>
      </c>
      <c r="H11" s="1" t="s">
        <v>121</v>
      </c>
      <c r="I11" s="74">
        <f>((3.14*(I4/2)^2)+(((3.14*I4)+10)*(I5+10)))/1000000</f>
        <v>0.34398200000000001</v>
      </c>
      <c r="J11" s="1" t="s">
        <v>19</v>
      </c>
      <c r="N11" s="1" t="s">
        <v>121</v>
      </c>
      <c r="O11" s="74">
        <f>((3.14*(O4/2)^2)+(((3.14*O4)+10)*(O5+10)))/1000000</f>
        <v>0.44039450000000008</v>
      </c>
      <c r="P11" s="1" t="s">
        <v>19</v>
      </c>
    </row>
    <row r="12" spans="2:16">
      <c r="B12" s="1" t="s">
        <v>122</v>
      </c>
      <c r="C12" s="74">
        <f>((C8/2)*(C8/2)*3.14)/1000000</f>
        <v>1.2265625E-2</v>
      </c>
      <c r="D12" s="1" t="s">
        <v>19</v>
      </c>
      <c r="H12" s="1" t="s">
        <v>122</v>
      </c>
      <c r="I12" s="74">
        <f>((I8/2)*(I8/2)*3.14)/1000000</f>
        <v>1.2265625E-2</v>
      </c>
      <c r="J12" s="1" t="s">
        <v>19</v>
      </c>
      <c r="N12" s="1" t="s">
        <v>122</v>
      </c>
      <c r="O12" s="74">
        <f>((O8/2)*(O8/2)*3.14)/1000000</f>
        <v>2.0095999999999999E-2</v>
      </c>
      <c r="P12" s="1" t="s">
        <v>19</v>
      </c>
    </row>
    <row r="13" spans="2:16">
      <c r="B13" s="1"/>
      <c r="C13" s="74"/>
      <c r="D13" s="1"/>
      <c r="H13" s="1"/>
      <c r="I13" s="74"/>
      <c r="J13" s="1"/>
      <c r="N13" s="1"/>
      <c r="O13" s="74"/>
      <c r="P13" s="1"/>
    </row>
    <row r="14" spans="2:16">
      <c r="B14" s="1" t="s">
        <v>123</v>
      </c>
      <c r="C14" s="74">
        <f>C11-C12</f>
        <v>0.32539200000000001</v>
      </c>
      <c r="D14" s="1" t="s">
        <v>19</v>
      </c>
      <c r="H14" s="1" t="s">
        <v>123</v>
      </c>
      <c r="I14" s="74">
        <f>I11-I12</f>
        <v>0.33171637500000001</v>
      </c>
      <c r="J14" s="1" t="s">
        <v>19</v>
      </c>
      <c r="N14" s="1" t="s">
        <v>123</v>
      </c>
      <c r="O14" s="74">
        <f>O11-O12</f>
        <v>0.42029850000000007</v>
      </c>
      <c r="P14" s="1" t="s">
        <v>19</v>
      </c>
    </row>
    <row r="15" spans="2:16">
      <c r="B15" s="1" t="s">
        <v>125</v>
      </c>
      <c r="C15" s="74">
        <f>C14+C9</f>
        <v>0.38426700000000003</v>
      </c>
      <c r="D15" s="1" t="s">
        <v>19</v>
      </c>
      <c r="H15" s="1" t="s">
        <v>125</v>
      </c>
      <c r="I15" s="74">
        <f>I14+I9</f>
        <v>0.39059137500000002</v>
      </c>
      <c r="J15" s="1" t="s">
        <v>19</v>
      </c>
      <c r="N15" s="1" t="s">
        <v>125</v>
      </c>
      <c r="O15" s="74">
        <f>O14+O9</f>
        <v>0.49565850000000006</v>
      </c>
      <c r="P15" s="1" t="s">
        <v>19</v>
      </c>
    </row>
    <row r="16" spans="2:16">
      <c r="B16" s="1"/>
      <c r="C16" s="74"/>
      <c r="D16" s="1"/>
      <c r="H16" s="1" t="s">
        <v>486</v>
      </c>
      <c r="I16" s="96">
        <f>(I4+80)*55/1000000</f>
        <v>2.3099999999999999E-2</v>
      </c>
      <c r="J16" s="1" t="s">
        <v>19</v>
      </c>
      <c r="N16" s="1" t="s">
        <v>486</v>
      </c>
      <c r="O16" s="96">
        <f>(O4+80)*55/1000000</f>
        <v>2.5850000000000001E-2</v>
      </c>
      <c r="P16" s="1" t="s">
        <v>19</v>
      </c>
    </row>
    <row r="17" spans="1:18">
      <c r="B17" s="1" t="s">
        <v>62</v>
      </c>
      <c r="C17" s="46">
        <v>0.6</v>
      </c>
      <c r="D17" s="1"/>
      <c r="H17" s="1"/>
      <c r="I17" s="74"/>
      <c r="J17" s="1"/>
      <c r="N17" s="1"/>
      <c r="O17" s="74"/>
      <c r="P17" s="1"/>
    </row>
    <row r="18" spans="1:18">
      <c r="B18" s="1" t="s">
        <v>53</v>
      </c>
      <c r="C18" s="74">
        <v>8</v>
      </c>
      <c r="D18" s="1"/>
      <c r="H18" s="1" t="s">
        <v>62</v>
      </c>
      <c r="I18" s="46">
        <v>0.6</v>
      </c>
      <c r="J18" s="1"/>
      <c r="N18" s="1" t="s">
        <v>62</v>
      </c>
      <c r="O18" s="46">
        <v>0.6</v>
      </c>
      <c r="P18" s="1"/>
    </row>
    <row r="19" spans="1:18">
      <c r="B19" s="1"/>
      <c r="C19" s="74"/>
      <c r="D19" s="1"/>
      <c r="H19" s="1" t="s">
        <v>53</v>
      </c>
      <c r="I19" s="74">
        <v>8</v>
      </c>
      <c r="J19" s="1"/>
      <c r="N19" s="1" t="s">
        <v>53</v>
      </c>
      <c r="O19" s="74">
        <v>8</v>
      </c>
      <c r="P19" s="1"/>
    </row>
    <row r="20" spans="1:18">
      <c r="B20" s="97" t="s">
        <v>115</v>
      </c>
      <c r="C20" s="98">
        <f>C17*C18*C15</f>
        <v>1.8444815999999999</v>
      </c>
      <c r="D20" s="1"/>
      <c r="H20" s="1"/>
      <c r="I20" s="74"/>
      <c r="J20" s="1"/>
      <c r="N20" s="1"/>
      <c r="O20" s="74"/>
      <c r="P20" s="1"/>
    </row>
    <row r="21" spans="1:18">
      <c r="B21" s="97" t="s">
        <v>116</v>
      </c>
      <c r="C21" s="98">
        <f>C20/1000</f>
        <v>1.8444816E-3</v>
      </c>
      <c r="D21" s="97"/>
      <c r="H21" s="97" t="s">
        <v>115</v>
      </c>
      <c r="I21" s="98">
        <f>I18*I19*(I15+I16)</f>
        <v>1.9857186</v>
      </c>
      <c r="J21" s="1"/>
      <c r="N21" s="97" t="s">
        <v>115</v>
      </c>
      <c r="O21" s="98">
        <f>O18*O19*(O15+O16)</f>
        <v>2.5032407999999999</v>
      </c>
      <c r="P21" s="1"/>
    </row>
    <row r="22" spans="1:18">
      <c r="B22" s="1"/>
      <c r="C22" s="74"/>
      <c r="D22" s="1"/>
      <c r="H22" s="97" t="s">
        <v>116</v>
      </c>
      <c r="I22" s="98">
        <f>I21/1000</f>
        <v>1.9857185999999998E-3</v>
      </c>
      <c r="J22" s="97"/>
      <c r="N22" s="97" t="s">
        <v>116</v>
      </c>
      <c r="O22" s="98">
        <f>O21/1000</f>
        <v>2.5032407999999997E-3</v>
      </c>
      <c r="P22" s="97"/>
    </row>
    <row r="23" spans="1:18">
      <c r="B23" s="1"/>
      <c r="C23" s="74"/>
      <c r="D23" s="1"/>
      <c r="H23" s="1"/>
      <c r="I23" s="74"/>
      <c r="J23" s="1"/>
      <c r="N23" s="1"/>
      <c r="O23" s="74"/>
      <c r="P23" s="1"/>
    </row>
    <row r="24" spans="1:18">
      <c r="B24" s="1"/>
      <c r="C24" s="74"/>
      <c r="D24" s="1"/>
      <c r="H24" s="1"/>
      <c r="I24" s="1"/>
      <c r="J24" s="1"/>
      <c r="N24" s="1" t="s">
        <v>127</v>
      </c>
      <c r="O24" s="74">
        <f>O21</f>
        <v>2.5032407999999999</v>
      </c>
      <c r="P24" s="1" t="s">
        <v>17</v>
      </c>
    </row>
    <row r="25" spans="1:18">
      <c r="B25" s="1"/>
      <c r="C25" s="1"/>
      <c r="D25" s="1"/>
      <c r="H25" s="1" t="s">
        <v>127</v>
      </c>
      <c r="I25" s="74">
        <f>I21</f>
        <v>1.9857186</v>
      </c>
      <c r="J25" s="1" t="s">
        <v>17</v>
      </c>
      <c r="N25" s="1"/>
      <c r="O25" s="74"/>
      <c r="P25" s="1"/>
    </row>
    <row r="26" spans="1:18">
      <c r="B26" s="1" t="s">
        <v>127</v>
      </c>
      <c r="C26" s="74">
        <f>C20</f>
        <v>1.8444815999999999</v>
      </c>
      <c r="D26" s="1" t="s">
        <v>17</v>
      </c>
      <c r="H26" s="1"/>
      <c r="I26" s="74"/>
      <c r="J26" s="1"/>
      <c r="M26" s="54" t="s">
        <v>100</v>
      </c>
      <c r="N26" s="10" t="s">
        <v>4</v>
      </c>
      <c r="O26" s="10" t="s">
        <v>5</v>
      </c>
      <c r="P26" s="11"/>
      <c r="Q26" s="10" t="s">
        <v>6</v>
      </c>
      <c r="R26" s="10" t="s">
        <v>7</v>
      </c>
    </row>
    <row r="27" spans="1:18">
      <c r="B27" s="1"/>
      <c r="C27" s="74"/>
      <c r="D27" s="1"/>
      <c r="G27" s="54" t="s">
        <v>100</v>
      </c>
      <c r="H27" s="10" t="s">
        <v>4</v>
      </c>
      <c r="I27" s="10" t="s">
        <v>5</v>
      </c>
      <c r="J27" s="11"/>
      <c r="K27" s="10" t="s">
        <v>6</v>
      </c>
      <c r="L27" s="10" t="s">
        <v>7</v>
      </c>
      <c r="M27" s="1" t="s">
        <v>176</v>
      </c>
      <c r="N27" s="7" t="s">
        <v>127</v>
      </c>
      <c r="O27" s="46">
        <f>O21</f>
        <v>2.5032407999999999</v>
      </c>
      <c r="P27" s="1" t="s">
        <v>17</v>
      </c>
      <c r="Q27" s="195">
        <f>'Ceny składowe'!C6</f>
        <v>4.3</v>
      </c>
      <c r="R27" s="196">
        <f>O27*Q27</f>
        <v>10.763935439999999</v>
      </c>
    </row>
    <row r="28" spans="1:18">
      <c r="A28" s="54" t="s">
        <v>100</v>
      </c>
      <c r="B28" s="10" t="s">
        <v>4</v>
      </c>
      <c r="C28" s="10" t="s">
        <v>5</v>
      </c>
      <c r="D28" s="11"/>
      <c r="E28" s="10" t="s">
        <v>6</v>
      </c>
      <c r="F28" s="10" t="s">
        <v>7</v>
      </c>
      <c r="G28" s="1" t="s">
        <v>176</v>
      </c>
      <c r="H28" s="7" t="s">
        <v>127</v>
      </c>
      <c r="I28" s="46">
        <f>I21</f>
        <v>1.9857186</v>
      </c>
      <c r="J28" s="1" t="s">
        <v>17</v>
      </c>
      <c r="K28" s="195">
        <f>'Ceny składowe'!C6</f>
        <v>4.3</v>
      </c>
      <c r="L28" s="196">
        <f>I28*K28</f>
        <v>8.5385899799999994</v>
      </c>
      <c r="M28" s="1" t="s">
        <v>206</v>
      </c>
      <c r="N28" s="7" t="s">
        <v>205</v>
      </c>
      <c r="O28" s="1">
        <v>1</v>
      </c>
      <c r="P28" s="1" t="s">
        <v>10</v>
      </c>
      <c r="Q28" s="195">
        <f>'Ceny składowe'!C25</f>
        <v>0.16</v>
      </c>
      <c r="R28" s="196">
        <f>O28*Q28</f>
        <v>0.16</v>
      </c>
    </row>
    <row r="29" spans="1:18">
      <c r="A29" s="1" t="s">
        <v>176</v>
      </c>
      <c r="B29" s="7" t="s">
        <v>127</v>
      </c>
      <c r="C29" s="46">
        <f>C20</f>
        <v>1.8444815999999999</v>
      </c>
      <c r="D29" s="1" t="s">
        <v>17</v>
      </c>
      <c r="E29" s="196">
        <f>'Ceny składowe'!C6</f>
        <v>4.3</v>
      </c>
      <c r="F29" s="196">
        <f>C29*E29</f>
        <v>7.9312708799999996</v>
      </c>
      <c r="G29" s="1" t="s">
        <v>206</v>
      </c>
      <c r="H29" s="7" t="s">
        <v>205</v>
      </c>
      <c r="I29" s="1">
        <v>1</v>
      </c>
      <c r="J29" s="1" t="s">
        <v>10</v>
      </c>
      <c r="K29" s="195">
        <f>'Ceny składowe'!C25</f>
        <v>0.16</v>
      </c>
      <c r="L29" s="196">
        <f>I29*K29</f>
        <v>0.16</v>
      </c>
      <c r="M29" s="291" t="str">
        <f>VLOOKUP(1,M39:N44,2,FALSE)</f>
        <v>INSUL-ROLL 19</v>
      </c>
      <c r="N29" s="7" t="s">
        <v>196</v>
      </c>
      <c r="O29" s="74">
        <f>O11+0.05</f>
        <v>0.49039450000000007</v>
      </c>
      <c r="P29" s="1" t="s">
        <v>19</v>
      </c>
      <c r="Q29" s="292">
        <f>IF(M37=O39,Q39,IF(M37=O40,Q40,IF(M37=O41,Q41,IF(M37=O42,Q42,IF(M37=O43,Q43)))))</f>
        <v>38.35</v>
      </c>
      <c r="R29" s="196">
        <f>O29*Q29</f>
        <v>18.806629075000004</v>
      </c>
    </row>
    <row r="30" spans="1:18">
      <c r="A30" s="7" t="s">
        <v>675</v>
      </c>
      <c r="B30" s="1" t="s">
        <v>709</v>
      </c>
      <c r="C30" s="74">
        <v>0.05</v>
      </c>
      <c r="D30" s="1" t="s">
        <v>10</v>
      </c>
      <c r="E30" s="196">
        <f>'Ceny składowe'!C78</f>
        <v>9.1</v>
      </c>
      <c r="F30" s="196">
        <f>C30*E30</f>
        <v>0.45500000000000002</v>
      </c>
      <c r="G30" s="1" t="s">
        <v>675</v>
      </c>
      <c r="H30" s="7" t="s">
        <v>709</v>
      </c>
      <c r="I30" s="1">
        <v>0.05</v>
      </c>
      <c r="J30" s="1" t="s">
        <v>10</v>
      </c>
      <c r="K30" s="195">
        <f>'Ceny składowe'!C78</f>
        <v>9.1</v>
      </c>
      <c r="L30" s="196">
        <f>I30*K30</f>
        <v>0.45500000000000002</v>
      </c>
      <c r="M30" s="1"/>
      <c r="N30" s="7"/>
      <c r="O30" s="74"/>
      <c r="P30" s="1"/>
      <c r="Q30" s="195"/>
      <c r="R30" s="196"/>
    </row>
    <row r="31" spans="1:18">
      <c r="B31" s="7"/>
      <c r="C31" s="46"/>
      <c r="D31" s="1"/>
      <c r="E31" s="196"/>
      <c r="F31" s="196"/>
      <c r="G31" s="1"/>
      <c r="H31" s="7"/>
      <c r="I31" s="1"/>
      <c r="J31" s="1"/>
      <c r="K31" s="195"/>
      <c r="L31" s="196"/>
      <c r="N31" s="7" t="s">
        <v>439</v>
      </c>
      <c r="O31" s="195">
        <f>IF(O4&lt;500,13,IF(O4&gt;700,100,IF(O4&gt;=500,5)))</f>
        <v>13</v>
      </c>
      <c r="P31" s="1"/>
    </row>
    <row r="32" spans="1:18">
      <c r="B32" s="7" t="s">
        <v>439</v>
      </c>
      <c r="C32" s="195">
        <f>IF(C4&lt;500,13,IF(C4&gt;700,100,IF(C4&gt;=500,5)))</f>
        <v>13</v>
      </c>
      <c r="D32" s="1"/>
      <c r="H32" s="7" t="s">
        <v>439</v>
      </c>
      <c r="I32" s="195">
        <f>IF(I4&lt;500,13,IF(I4&gt;700,100,IF(I4&gt;=500,5)))</f>
        <v>13</v>
      </c>
      <c r="J32" s="1"/>
      <c r="N32" s="1"/>
      <c r="O32" s="1"/>
      <c r="P32" s="1"/>
    </row>
    <row r="33" spans="1:17">
      <c r="A33" s="256" t="s">
        <v>411</v>
      </c>
      <c r="B33" s="1"/>
      <c r="C33" s="1"/>
      <c r="D33" s="1"/>
      <c r="H33" s="1"/>
      <c r="I33" s="1"/>
      <c r="J33" s="1"/>
      <c r="M33" s="256" t="s">
        <v>411</v>
      </c>
      <c r="N33" s="256" t="e">
        <f>IF(AND(O4&lt;200,#REF!&lt;200),18,IF(AND(O4&lt;300,#REF!&lt;300),19,IF(AND(O4&lt;500,#REF!&lt;500),20,IF(AND(O4&gt;=500,#REF!&gt;=500),22,IF(AND(O4&gt;700,#REF!&gt;=50),40)))))</f>
        <v>#REF!</v>
      </c>
      <c r="O33" s="1" t="s">
        <v>301</v>
      </c>
      <c r="P33" s="198">
        <f>R27+R28+R29</f>
        <v>29.730564515000005</v>
      </c>
    </row>
    <row r="34" spans="1:17">
      <c r="A34" s="256" t="s">
        <v>441</v>
      </c>
      <c r="B34" s="256" t="e">
        <f>IF(AND(C4&lt;200,#REF!&lt;200),18,IF(AND(C4&lt;300,#REF!&lt;300),19,IF(AND(C4&lt;500,#REF!&lt;500),20,IF(AND(C4&gt;=500,#REF!&gt;=500),22,IF(AND(C4&gt;700,#REF!&gt;=50),40)))))</f>
        <v>#REF!</v>
      </c>
      <c r="C34" s="1" t="s">
        <v>301</v>
      </c>
      <c r="D34" s="198">
        <f>F29+F30</f>
        <v>8.3862708799999997</v>
      </c>
      <c r="G34" s="256" t="s">
        <v>411</v>
      </c>
      <c r="H34" s="256" t="e">
        <f>IF(AND(I4&lt;200,#REF!&lt;200),18,IF(AND(I4&lt;300,#REF!&lt;300),19,IF(AND(I4&lt;500,#REF!&lt;500),20,IF(AND(I4&gt;=500,#REF!&gt;=500),22,IF(AND(I4&gt;700,#REF!&gt;=50),40)))))</f>
        <v>#REF!</v>
      </c>
      <c r="I34" s="1" t="s">
        <v>301</v>
      </c>
      <c r="J34" s="198">
        <f>SUM(L28:L30)</f>
        <v>9.1535899799999996</v>
      </c>
      <c r="M34" s="256" t="s">
        <v>441</v>
      </c>
      <c r="N34" s="261" t="e">
        <f>N33+P33</f>
        <v>#REF!</v>
      </c>
      <c r="O34" s="1" t="s">
        <v>342</v>
      </c>
      <c r="P34" s="195">
        <f>O31+P33*4.9</f>
        <v>158.67976612350003</v>
      </c>
    </row>
    <row r="35" spans="1:17">
      <c r="B35" s="261" t="e">
        <f>B34+D34</f>
        <v>#REF!</v>
      </c>
      <c r="C35" s="1" t="s">
        <v>342</v>
      </c>
      <c r="D35" s="195">
        <f>C32+D34*7.7</f>
        <v>77.574285775999996</v>
      </c>
      <c r="G35" s="256" t="s">
        <v>441</v>
      </c>
      <c r="H35" s="261" t="e">
        <f>H34+J34</f>
        <v>#REF!</v>
      </c>
      <c r="I35" s="1" t="s">
        <v>342</v>
      </c>
      <c r="J35" s="195">
        <f>I32+J34*7.7</f>
        <v>83.482642846000005</v>
      </c>
    </row>
    <row r="36" spans="1:17">
      <c r="M36" s="291">
        <f>'Cennik Produkcja '!D174</f>
        <v>20</v>
      </c>
    </row>
    <row r="37" spans="1:17">
      <c r="M37" s="291">
        <f>IF(M36&lt;=10,9,IF(M36&lt;=15,13,IF(M36&lt;=20,19,IF(M36&lt;=25,25,IF(M36&lt;=35,32)))))</f>
        <v>19</v>
      </c>
    </row>
    <row r="39" spans="1:17">
      <c r="M39" s="291">
        <f>IF($M37=O39,1,0)</f>
        <v>0</v>
      </c>
      <c r="N39" s="291" t="s">
        <v>339</v>
      </c>
      <c r="O39" s="291">
        <v>9</v>
      </c>
      <c r="P39" s="291"/>
      <c r="Q39" s="292">
        <f>'Ceny składowe'!C13</f>
        <v>26.81</v>
      </c>
    </row>
    <row r="40" spans="1:17">
      <c r="M40" s="291">
        <f>IF($M37=O40,1,0)</f>
        <v>0</v>
      </c>
      <c r="N40" s="291" t="s">
        <v>513</v>
      </c>
      <c r="O40" s="291">
        <v>13</v>
      </c>
      <c r="P40" s="291"/>
      <c r="Q40" s="292">
        <f>'Ceny składowe'!C14</f>
        <v>28.21</v>
      </c>
    </row>
    <row r="41" spans="1:17">
      <c r="M41" s="291">
        <f>IF($M37=O41,1,0)</f>
        <v>1</v>
      </c>
      <c r="N41" s="291" t="s">
        <v>481</v>
      </c>
      <c r="O41" s="291">
        <v>19</v>
      </c>
      <c r="P41" s="291"/>
      <c r="Q41" s="292">
        <f>'Ceny składowe'!C15</f>
        <v>38.35</v>
      </c>
    </row>
    <row r="42" spans="1:17">
      <c r="M42" s="291">
        <f>IF($M37=O42,1,0)</f>
        <v>0</v>
      </c>
      <c r="N42" s="291" t="s">
        <v>215</v>
      </c>
      <c r="O42" s="291">
        <v>25</v>
      </c>
      <c r="P42" s="291"/>
      <c r="Q42" s="292">
        <f>'Ceny składowe'!C12</f>
        <v>45.27</v>
      </c>
    </row>
    <row r="43" spans="1:17">
      <c r="M43" s="291">
        <f>IF($M37=O43,1,0)</f>
        <v>0</v>
      </c>
      <c r="N43" s="291" t="s">
        <v>514</v>
      </c>
      <c r="O43" s="291">
        <v>32</v>
      </c>
      <c r="P43" s="291"/>
      <c r="Q43" s="292">
        <f>'Ceny składowe'!C16</f>
        <v>57.07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M34"/>
  <sheetViews>
    <sheetView workbookViewId="0">
      <selection activeCell="K30" sqref="K30"/>
    </sheetView>
  </sheetViews>
  <sheetFormatPr defaultRowHeight="14.4"/>
  <cols>
    <col min="1" max="1" width="19.88671875" customWidth="1"/>
    <col min="2" max="2" width="26.88671875" customWidth="1"/>
    <col min="3" max="3" width="11" customWidth="1"/>
    <col min="4" max="4" width="13.109375" customWidth="1"/>
    <col min="5" max="5" width="12" customWidth="1"/>
    <col min="6" max="6" width="12.6640625" customWidth="1"/>
  </cols>
  <sheetData>
    <row r="3" spans="2:12">
      <c r="B3" t="s">
        <v>129</v>
      </c>
      <c r="G3" t="s">
        <v>130</v>
      </c>
    </row>
    <row r="5" spans="2:12">
      <c r="B5" t="s">
        <v>110</v>
      </c>
      <c r="C5">
        <f>'Cennik Produkcja '!D229</f>
        <v>1060</v>
      </c>
      <c r="D5" t="s">
        <v>27</v>
      </c>
      <c r="G5" t="s">
        <v>131</v>
      </c>
      <c r="H5">
        <v>0.315</v>
      </c>
    </row>
    <row r="6" spans="2:12">
      <c r="B6" t="s">
        <v>111</v>
      </c>
      <c r="C6">
        <f>'Cennik Produkcja '!E229</f>
        <v>158</v>
      </c>
      <c r="D6" t="s">
        <v>27</v>
      </c>
      <c r="G6" t="s">
        <v>89</v>
      </c>
      <c r="H6">
        <v>0.6</v>
      </c>
    </row>
    <row r="7" spans="2:12">
      <c r="B7" t="s">
        <v>89</v>
      </c>
      <c r="C7">
        <f>'Cennik Produkcja '!D231</f>
        <v>150</v>
      </c>
      <c r="D7" t="s">
        <v>27</v>
      </c>
    </row>
    <row r="8" spans="2:12">
      <c r="B8" t="s">
        <v>132</v>
      </c>
      <c r="D8" t="s">
        <v>2</v>
      </c>
    </row>
    <row r="9" spans="2:12">
      <c r="B9" t="s">
        <v>133</v>
      </c>
      <c r="C9">
        <f>(C5+C6+C5+C6)/1000</f>
        <v>2.4359999999999999</v>
      </c>
      <c r="D9" t="s">
        <v>2</v>
      </c>
    </row>
    <row r="10" spans="2:12">
      <c r="B10" t="s">
        <v>134</v>
      </c>
      <c r="C10">
        <v>4</v>
      </c>
      <c r="D10" t="s">
        <v>10</v>
      </c>
    </row>
    <row r="11" spans="2:12">
      <c r="B11" t="s">
        <v>135</v>
      </c>
      <c r="C11" s="86">
        <f>(C5*C6)/1000000</f>
        <v>0.16747999999999999</v>
      </c>
      <c r="D11" t="s">
        <v>19</v>
      </c>
    </row>
    <row r="13" spans="2:12">
      <c r="B13" t="s">
        <v>136</v>
      </c>
      <c r="C13">
        <f>(((C5+C8)*C7*2)+((C6+C8)*C7*2))/1000000</f>
        <v>0.3654</v>
      </c>
      <c r="D13" t="s">
        <v>19</v>
      </c>
      <c r="G13" t="s">
        <v>136</v>
      </c>
      <c r="H13">
        <f>H5*3.14*H6</f>
        <v>0.59345999999999999</v>
      </c>
      <c r="I13" t="s">
        <v>19</v>
      </c>
      <c r="K13" t="s">
        <v>137</v>
      </c>
      <c r="L13">
        <f>H13+C13</f>
        <v>0.95886000000000005</v>
      </c>
    </row>
    <row r="14" spans="2:12">
      <c r="K14" t="s">
        <v>138</v>
      </c>
      <c r="L14">
        <f>H18+C18</f>
        <v>4.6902239999999997</v>
      </c>
    </row>
    <row r="15" spans="2:12">
      <c r="B15" t="s">
        <v>52</v>
      </c>
      <c r="C15">
        <v>0.6</v>
      </c>
      <c r="D15" t="s">
        <v>27</v>
      </c>
      <c r="G15" t="s">
        <v>52</v>
      </c>
      <c r="H15">
        <v>0.6</v>
      </c>
      <c r="I15" t="s">
        <v>27</v>
      </c>
    </row>
    <row r="16" spans="2:12">
      <c r="B16" t="s">
        <v>53</v>
      </c>
      <c r="C16">
        <v>8</v>
      </c>
      <c r="G16" t="s">
        <v>53</v>
      </c>
      <c r="H16">
        <v>8</v>
      </c>
    </row>
    <row r="17" spans="1:13">
      <c r="L17" t="s">
        <v>34</v>
      </c>
      <c r="M17" s="86">
        <f>C11</f>
        <v>0.16747999999999999</v>
      </c>
    </row>
    <row r="18" spans="1:13">
      <c r="B18" t="s">
        <v>115</v>
      </c>
      <c r="C18" s="70">
        <f>(C13*C15*C16)*1.05</f>
        <v>1.8416159999999999</v>
      </c>
      <c r="D18" t="s">
        <v>17</v>
      </c>
      <c r="G18" t="s">
        <v>115</v>
      </c>
      <c r="H18">
        <f>H13*H15*H16</f>
        <v>2.848608</v>
      </c>
      <c r="I18" t="s">
        <v>17</v>
      </c>
      <c r="L18" t="s">
        <v>120</v>
      </c>
      <c r="M18">
        <f>C9</f>
        <v>2.4359999999999999</v>
      </c>
    </row>
    <row r="19" spans="1:13">
      <c r="C19" s="70">
        <f>C18/1000</f>
        <v>1.8416159999999999E-3</v>
      </c>
      <c r="D19" t="s">
        <v>23</v>
      </c>
      <c r="H19" s="70">
        <f>H18/1000</f>
        <v>2.8486079999999999E-3</v>
      </c>
      <c r="I19" t="s">
        <v>23</v>
      </c>
      <c r="L19" t="s">
        <v>21</v>
      </c>
      <c r="M19">
        <f>C10</f>
        <v>4</v>
      </c>
    </row>
    <row r="28" spans="1:13">
      <c r="A28" s="54" t="s">
        <v>100</v>
      </c>
      <c r="B28" s="13" t="s">
        <v>4</v>
      </c>
      <c r="C28" s="10" t="s">
        <v>5</v>
      </c>
      <c r="E28" s="13" t="s">
        <v>6</v>
      </c>
      <c r="F28" s="13" t="s">
        <v>7</v>
      </c>
    </row>
    <row r="29" spans="1:13">
      <c r="A29" s="108" t="s">
        <v>176</v>
      </c>
      <c r="B29" t="s">
        <v>127</v>
      </c>
      <c r="C29" s="70">
        <f>C18</f>
        <v>1.8416159999999999</v>
      </c>
      <c r="D29" t="s">
        <v>17</v>
      </c>
      <c r="E29" s="195">
        <f>'Ceny składowe'!C6</f>
        <v>4.3</v>
      </c>
      <c r="F29" s="195">
        <f>E29*C29</f>
        <v>7.918948799999999</v>
      </c>
    </row>
    <row r="30" spans="1:13">
      <c r="F30" s="86"/>
    </row>
    <row r="31" spans="1:13">
      <c r="E31" s="123" t="s">
        <v>43</v>
      </c>
      <c r="F31" s="195">
        <f>F29</f>
        <v>7.918948799999999</v>
      </c>
    </row>
    <row r="32" spans="1:13">
      <c r="E32" s="2"/>
      <c r="F32" s="142"/>
    </row>
    <row r="33" spans="5:6">
      <c r="E33" s="125" t="s">
        <v>293</v>
      </c>
      <c r="F33" s="195">
        <f>IF(AND(C5&lt;=650,C7&lt;=200),35,IF(AND(C5&lt;800,C7&lt;=400),45,IF(AND(C5&lt;=1000,C7&lt;=1000),53,IF(AND(C5&gt;1000,C7&lt;=1000),60))))</f>
        <v>60</v>
      </c>
    </row>
    <row r="34" spans="5:6">
      <c r="E34" s="54" t="s">
        <v>294</v>
      </c>
      <c r="F34" s="126">
        <f>(F33-F31)/F31</f>
        <v>6.576763218875719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A6E2-4233-4D85-8E9C-2DCB8923E4EA}">
  <dimension ref="A2:F34"/>
  <sheetViews>
    <sheetView workbookViewId="0">
      <selection activeCell="B2" sqref="B2"/>
    </sheetView>
  </sheetViews>
  <sheetFormatPr defaultRowHeight="14.4"/>
  <cols>
    <col min="1" max="1" width="29.6640625" customWidth="1"/>
    <col min="2" max="2" width="30" customWidth="1"/>
    <col min="3" max="3" width="18" customWidth="1"/>
    <col min="4" max="4" width="6.109375" customWidth="1"/>
    <col min="5" max="5" width="17" customWidth="1"/>
    <col min="6" max="6" width="15.88671875" customWidth="1"/>
  </cols>
  <sheetData>
    <row r="2" spans="2:4">
      <c r="B2" s="1" t="s">
        <v>729</v>
      </c>
    </row>
    <row r="4" spans="2:4">
      <c r="B4" t="s">
        <v>110</v>
      </c>
      <c r="C4">
        <f>'Cennik Produkcja '!D390</f>
        <v>360</v>
      </c>
      <c r="D4" t="s">
        <v>27</v>
      </c>
    </row>
    <row r="5" spans="2:4">
      <c r="B5" t="s">
        <v>111</v>
      </c>
      <c r="C5">
        <f>'Cennik Produkcja '!E390</f>
        <v>840</v>
      </c>
      <c r="D5" t="s">
        <v>27</v>
      </c>
    </row>
    <row r="6" spans="2:4">
      <c r="B6" t="s">
        <v>241</v>
      </c>
      <c r="C6">
        <f>'Cennik Produkcja '!D392</f>
        <v>40</v>
      </c>
      <c r="D6" t="s">
        <v>27</v>
      </c>
    </row>
    <row r="9" spans="2:4">
      <c r="B9" t="s">
        <v>136</v>
      </c>
      <c r="C9">
        <f>(C4+(C6*2))*(C5+(C6*2))/1000000</f>
        <v>0.40479999999999999</v>
      </c>
      <c r="D9" t="s">
        <v>19</v>
      </c>
    </row>
    <row r="11" spans="2:4">
      <c r="B11" t="s">
        <v>52</v>
      </c>
      <c r="C11">
        <f>IF(C4&gt;2000,0.9,IF(C4&lt;=2000,0.8))</f>
        <v>0.8</v>
      </c>
      <c r="D11" t="s">
        <v>27</v>
      </c>
    </row>
    <row r="12" spans="2:4">
      <c r="B12" t="s">
        <v>53</v>
      </c>
      <c r="C12">
        <v>8</v>
      </c>
    </row>
    <row r="14" spans="2:4">
      <c r="B14" t="s">
        <v>115</v>
      </c>
      <c r="C14" s="70">
        <f>(C9*C11*C12)</f>
        <v>2.5907200000000001</v>
      </c>
      <c r="D14" t="s">
        <v>17</v>
      </c>
    </row>
    <row r="15" spans="2:4">
      <c r="C15" s="70">
        <f>C14/1000</f>
        <v>2.5907200000000003E-3</v>
      </c>
      <c r="D15" t="s">
        <v>23</v>
      </c>
    </row>
    <row r="17" spans="1:6">
      <c r="B17" t="s">
        <v>732</v>
      </c>
      <c r="C17">
        <f>IF('Cennik Produkcja '!F392="Kopertowa",5,0)</f>
        <v>5</v>
      </c>
      <c r="D17" t="s">
        <v>733</v>
      </c>
      <c r="E17" s="384">
        <f>IF(C4&lt;=1000,C17,IF(C4&gt;1000,C17*2))</f>
        <v>5</v>
      </c>
    </row>
    <row r="18" spans="1:6">
      <c r="B18" t="s">
        <v>731</v>
      </c>
      <c r="C18">
        <f>IF('Cennik Produkcja '!E392="TAK",20,0)</f>
        <v>0</v>
      </c>
      <c r="D18" t="s">
        <v>733</v>
      </c>
    </row>
    <row r="24" spans="1:6">
      <c r="A24" s="54" t="s">
        <v>100</v>
      </c>
      <c r="B24" s="13" t="s">
        <v>4</v>
      </c>
      <c r="C24" s="10" t="s">
        <v>5</v>
      </c>
      <c r="E24" s="13" t="s">
        <v>6</v>
      </c>
      <c r="F24" s="13" t="s">
        <v>7</v>
      </c>
    </row>
    <row r="25" spans="1:6">
      <c r="A25" s="108" t="s">
        <v>246</v>
      </c>
      <c r="B25" t="s">
        <v>257</v>
      </c>
      <c r="C25" s="86">
        <f>IF(C4&lt;=2000,C14,0.0001)</f>
        <v>2.5907200000000001</v>
      </c>
      <c r="D25" t="s">
        <v>17</v>
      </c>
      <c r="E25" s="195">
        <f>'Ceny składowe'!C7</f>
        <v>4.2</v>
      </c>
      <c r="F25" s="195">
        <f>C25*E25</f>
        <v>10.881024000000002</v>
      </c>
    </row>
    <row r="26" spans="1:6">
      <c r="A26" s="5" t="s">
        <v>633</v>
      </c>
      <c r="B26" t="s">
        <v>631</v>
      </c>
      <c r="C26" s="86">
        <f>IF(C4&gt;2000,C14,0.0001)</f>
        <v>1E-4</v>
      </c>
      <c r="D26" t="s">
        <v>17</v>
      </c>
      <c r="E26" s="195">
        <f>'Ceny składowe'!C8</f>
        <v>4.2</v>
      </c>
      <c r="F26" s="195">
        <f>C26*E26</f>
        <v>4.2000000000000002E-4</v>
      </c>
    </row>
    <row r="27" spans="1:6">
      <c r="A27" s="9" t="s">
        <v>675</v>
      </c>
      <c r="B27" t="s">
        <v>709</v>
      </c>
      <c r="C27" s="86">
        <v>0.02</v>
      </c>
      <c r="D27" t="s">
        <v>64</v>
      </c>
      <c r="E27" s="195">
        <f>'Ceny składowe'!C78</f>
        <v>9.1</v>
      </c>
      <c r="F27" s="195">
        <f>C27*E27</f>
        <v>0.182</v>
      </c>
    </row>
    <row r="28" spans="1:6">
      <c r="A28" s="7"/>
      <c r="C28" s="86"/>
    </row>
    <row r="29" spans="1:6">
      <c r="E29" s="123" t="s">
        <v>43</v>
      </c>
      <c r="F29" s="195">
        <f>SUM(F25:F27)</f>
        <v>11.063444000000002</v>
      </c>
    </row>
    <row r="30" spans="1:6">
      <c r="E30" s="195" t="s">
        <v>734</v>
      </c>
      <c r="F30" s="195">
        <f>E17+C18</f>
        <v>5</v>
      </c>
    </row>
    <row r="31" spans="1:6">
      <c r="E31" s="125" t="s">
        <v>735</v>
      </c>
      <c r="F31" s="195">
        <f>(F29+F30)</f>
        <v>16.063444000000004</v>
      </c>
    </row>
    <row r="32" spans="1:6">
      <c r="E32" s="125"/>
      <c r="F32" s="195"/>
    </row>
    <row r="33" spans="5:6">
      <c r="E33" s="125" t="s">
        <v>736</v>
      </c>
      <c r="F33" s="195">
        <f>IF(C9&lt;0.6,68+F30,IF(C9&gt;=2.5,(F29*3.2)+F30,IF(C9&gt;=0.6,(F29*3.5)+F30)))</f>
        <v>73</v>
      </c>
    </row>
    <row r="34" spans="5:6">
      <c r="E34" s="54" t="s">
        <v>294</v>
      </c>
      <c r="F34" s="126">
        <f>(F33-F31)/F31</f>
        <v>3.5444800006773129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P26"/>
  <sheetViews>
    <sheetView workbookViewId="0">
      <selection activeCell="M9" sqref="M9"/>
    </sheetView>
  </sheetViews>
  <sheetFormatPr defaultRowHeight="14.4"/>
  <cols>
    <col min="1" max="1" width="20.33203125" customWidth="1"/>
    <col min="2" max="2" width="26.88671875" customWidth="1"/>
    <col min="3" max="3" width="9.44140625" bestFit="1" customWidth="1"/>
    <col min="11" max="11" width="29" customWidth="1"/>
    <col min="12" max="12" width="31.5546875" customWidth="1"/>
    <col min="13" max="13" width="9.44140625" bestFit="1" customWidth="1"/>
  </cols>
  <sheetData>
    <row r="4" spans="2:16">
      <c r="B4" s="129" t="s">
        <v>139</v>
      </c>
      <c r="L4" s="129" t="s">
        <v>712</v>
      </c>
    </row>
    <row r="5" spans="2:16">
      <c r="B5" s="92"/>
      <c r="L5" s="92"/>
    </row>
    <row r="6" spans="2:16">
      <c r="B6" s="92" t="s">
        <v>140</v>
      </c>
      <c r="G6">
        <v>80</v>
      </c>
      <c r="H6" s="196">
        <v>5.86</v>
      </c>
      <c r="L6" s="92" t="s">
        <v>713</v>
      </c>
      <c r="M6" s="92">
        <f>'Cennik Produkcja '!D376</f>
        <v>630</v>
      </c>
    </row>
    <row r="7" spans="2:16">
      <c r="B7" s="92">
        <f>'Cennik Produkcja '!D306</f>
        <v>500</v>
      </c>
      <c r="G7">
        <v>100</v>
      </c>
      <c r="H7" s="199">
        <v>4.8899999999999997</v>
      </c>
      <c r="I7" s="2"/>
      <c r="L7" s="92" t="s">
        <v>714</v>
      </c>
      <c r="M7">
        <f>M6+('Cennik Produkcja '!E376*2)</f>
        <v>710</v>
      </c>
    </row>
    <row r="8" spans="2:16">
      <c r="G8">
        <v>125</v>
      </c>
      <c r="H8" s="199">
        <v>5.54</v>
      </c>
      <c r="I8" s="2"/>
    </row>
    <row r="9" spans="2:16">
      <c r="G9">
        <v>160</v>
      </c>
      <c r="H9" s="199">
        <v>5.86</v>
      </c>
      <c r="I9" s="2"/>
      <c r="L9" s="92" t="s">
        <v>715</v>
      </c>
      <c r="M9" s="86">
        <f>((3.14*((M7+11)/2)^2)-(3.14*(M6/2)^2))*6.4/1000000</f>
        <v>0.61765558399999998</v>
      </c>
      <c r="N9" t="s">
        <v>17</v>
      </c>
    </row>
    <row r="10" spans="2:16">
      <c r="G10">
        <v>200</v>
      </c>
      <c r="H10" s="199">
        <v>7.81</v>
      </c>
      <c r="I10" s="2"/>
      <c r="K10" s="1"/>
      <c r="L10" s="92" t="s">
        <v>716</v>
      </c>
      <c r="M10" s="86">
        <f>(((3.14*((M7+11)/2)^2)-(3.14*(M6/2)^2))*2)*6.4/1000000</f>
        <v>1.235311168</v>
      </c>
      <c r="N10" t="s">
        <v>17</v>
      </c>
    </row>
    <row r="11" spans="2:16">
      <c r="G11" s="92">
        <v>225</v>
      </c>
      <c r="H11" s="199">
        <v>8.14</v>
      </c>
      <c r="I11" s="2"/>
      <c r="K11" s="1"/>
      <c r="L11" s="92" t="s">
        <v>718</v>
      </c>
      <c r="M11" s="86">
        <f>(M6*3.14*110)*4.8/1000000</f>
        <v>1.0444895999999999</v>
      </c>
      <c r="N11" t="s">
        <v>17</v>
      </c>
      <c r="O11" s="380">
        <f>IF('Cennik Produkcja '!D378="TAK",Kolar_Nypel_Mufa!M11,0.0001)</f>
        <v>1E-4</v>
      </c>
      <c r="P11" s="284" t="s">
        <v>17</v>
      </c>
    </row>
    <row r="12" spans="2:16">
      <c r="G12">
        <v>250</v>
      </c>
      <c r="H12" s="199">
        <v>8.26</v>
      </c>
      <c r="I12" s="2"/>
      <c r="L12" s="92" t="s">
        <v>717</v>
      </c>
      <c r="M12" s="86">
        <f>(M6*3.14*110)*6.4/1000000</f>
        <v>1.3926528</v>
      </c>
      <c r="N12" t="s">
        <v>17</v>
      </c>
      <c r="O12" s="380">
        <f>IF('Cennik Produkcja '!D378="TAK",Kolar_Nypel_Mufa!M12,0.0001)</f>
        <v>1E-4</v>
      </c>
      <c r="P12" s="284" t="s">
        <v>17</v>
      </c>
    </row>
    <row r="13" spans="2:16">
      <c r="G13">
        <v>280</v>
      </c>
      <c r="H13" s="199">
        <v>8.5</v>
      </c>
      <c r="I13" s="2"/>
    </row>
    <row r="14" spans="2:16">
      <c r="G14">
        <v>315</v>
      </c>
      <c r="H14" s="199">
        <v>9.48</v>
      </c>
      <c r="I14" s="2"/>
    </row>
    <row r="15" spans="2:16">
      <c r="G15">
        <v>355</v>
      </c>
      <c r="H15" s="199">
        <v>10.94</v>
      </c>
      <c r="I15" s="2"/>
    </row>
    <row r="16" spans="2:16">
      <c r="G16">
        <v>400</v>
      </c>
      <c r="H16" s="199">
        <v>16.579999999999998</v>
      </c>
      <c r="I16" s="2"/>
    </row>
    <row r="17" spans="1:16">
      <c r="A17" s="54" t="s">
        <v>100</v>
      </c>
      <c r="B17" s="13" t="s">
        <v>4</v>
      </c>
      <c r="C17" s="10" t="s">
        <v>5</v>
      </c>
      <c r="G17">
        <v>450</v>
      </c>
      <c r="H17" s="199">
        <v>17.3</v>
      </c>
      <c r="I17" s="2"/>
      <c r="K17" s="54" t="s">
        <v>100</v>
      </c>
      <c r="L17" s="13" t="s">
        <v>4</v>
      </c>
      <c r="M17" s="10" t="s">
        <v>5</v>
      </c>
      <c r="O17" s="13" t="s">
        <v>6</v>
      </c>
      <c r="P17" s="13" t="s">
        <v>7</v>
      </c>
    </row>
    <row r="18" spans="1:16">
      <c r="A18" t="s">
        <v>533</v>
      </c>
      <c r="B18" t="s">
        <v>520</v>
      </c>
      <c r="C18" s="314">
        <f>((B7*3.14*137)*4)/1000000000</f>
        <v>8.6036000000000001E-4</v>
      </c>
      <c r="D18" s="141" t="s">
        <v>539</v>
      </c>
      <c r="G18">
        <v>500</v>
      </c>
      <c r="H18" s="199">
        <v>21.31</v>
      </c>
      <c r="I18" s="2"/>
      <c r="K18" t="s">
        <v>176</v>
      </c>
      <c r="L18" t="s">
        <v>127</v>
      </c>
      <c r="M18" s="84">
        <f>IF(M6&lt;=400,O11,0.0001)</f>
        <v>1E-4</v>
      </c>
      <c r="N18" t="s">
        <v>17</v>
      </c>
      <c r="O18" s="199">
        <f>'Ceny składowe'!C6</f>
        <v>4.3</v>
      </c>
      <c r="P18" s="199">
        <f>M18*O18</f>
        <v>4.2999999999999999E-4</v>
      </c>
    </row>
    <row r="19" spans="1:16">
      <c r="C19" s="315"/>
      <c r="G19">
        <v>560</v>
      </c>
      <c r="H19" s="199">
        <v>22.72</v>
      </c>
      <c r="I19" s="2"/>
      <c r="K19" s="100" t="s">
        <v>246</v>
      </c>
      <c r="L19" t="s">
        <v>257</v>
      </c>
      <c r="M19" s="84">
        <f>IF(M6&lt;=400,M9,M10+O12)</f>
        <v>1.2354111679999999</v>
      </c>
      <c r="N19" t="s">
        <v>17</v>
      </c>
      <c r="O19" s="199">
        <f>'Ceny składowe'!C7</f>
        <v>4.2</v>
      </c>
      <c r="P19" s="199">
        <f>M19*O19</f>
        <v>5.1887269056000003</v>
      </c>
    </row>
    <row r="20" spans="1:16">
      <c r="C20" s="314">
        <f>((B7*3.14*137)*4)/1000000</f>
        <v>0.86036000000000001</v>
      </c>
      <c r="D20" s="141" t="s">
        <v>17</v>
      </c>
      <c r="G20">
        <v>630</v>
      </c>
      <c r="H20" s="199">
        <v>27.3</v>
      </c>
      <c r="I20" s="2"/>
      <c r="K20" t="s">
        <v>675</v>
      </c>
      <c r="L20" t="s">
        <v>678</v>
      </c>
      <c r="M20" s="86">
        <f>IF('Cennik Produkcja '!D378="TAK",M6*0.0001,0.0001)</f>
        <v>1E-4</v>
      </c>
      <c r="N20" t="s">
        <v>10</v>
      </c>
      <c r="O20" s="2">
        <f>'Ceny składowe'!C78</f>
        <v>9.1</v>
      </c>
      <c r="P20" s="2">
        <f>M20*O20</f>
        <v>9.1E-4</v>
      </c>
    </row>
    <row r="21" spans="1:16">
      <c r="A21" s="141"/>
      <c r="B21" s="141"/>
      <c r="C21" s="141"/>
      <c r="G21">
        <v>710</v>
      </c>
      <c r="H21" s="199">
        <v>29.9</v>
      </c>
      <c r="I21" s="2"/>
      <c r="M21" s="86"/>
      <c r="O21" s="2"/>
      <c r="P21" s="2"/>
    </row>
    <row r="22" spans="1:16">
      <c r="G22">
        <v>800</v>
      </c>
      <c r="H22" s="199">
        <v>32.200000000000003</v>
      </c>
      <c r="O22" s="92" t="s">
        <v>719</v>
      </c>
      <c r="P22" s="199">
        <f>SUM(P18:P20)*7.7</f>
        <v>39.963515173120001</v>
      </c>
    </row>
    <row r="23" spans="1:16">
      <c r="O23" t="s">
        <v>296</v>
      </c>
      <c r="P23" s="196">
        <f>IF('Cennik Produkcja '!E378="TAK",Kolar_Nypel_Mufa!P22+10,P22)</f>
        <v>49.963515173120001</v>
      </c>
    </row>
    <row r="24" spans="1:16">
      <c r="P24" s="196"/>
    </row>
    <row r="25" spans="1:16">
      <c r="L25" s="236" t="s">
        <v>411</v>
      </c>
      <c r="M25" s="251">
        <f>IF(M6&lt;=250,10,IF(M6&lt;=315,15,IF(M6&lt;=450,20,IF(M6&lt;=560,30,IF(M6&lt;=700,40,IF(M6&lt;=1000,60,IF(M6&gt;1000,80)))))))</f>
        <v>40</v>
      </c>
      <c r="N25" s="237" t="s">
        <v>412</v>
      </c>
      <c r="O25" s="239">
        <f>'Ceny składowe'!M95</f>
        <v>0</v>
      </c>
      <c r="P25" s="238">
        <f>M25*O25</f>
        <v>0</v>
      </c>
    </row>
    <row r="26" spans="1:16">
      <c r="M26" s="74"/>
      <c r="N26" s="237" t="s">
        <v>418</v>
      </c>
      <c r="O26" s="237" t="s">
        <v>419</v>
      </c>
      <c r="P26" s="240">
        <f>P22+P25</f>
        <v>39.963515173120001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Q60"/>
  <sheetViews>
    <sheetView zoomScaleNormal="100" workbookViewId="0">
      <selection activeCell="F30" sqref="F30"/>
    </sheetView>
  </sheetViews>
  <sheetFormatPr defaultRowHeight="14.4"/>
  <cols>
    <col min="1" max="1" width="26.5546875" customWidth="1"/>
    <col min="2" max="2" width="30" customWidth="1"/>
    <col min="3" max="3" width="17.88671875" customWidth="1"/>
    <col min="4" max="4" width="11.6640625" customWidth="1"/>
    <col min="5" max="5" width="13.33203125" customWidth="1"/>
    <col min="6" max="6" width="24.33203125" customWidth="1"/>
    <col min="7" max="7" width="23.44140625" customWidth="1"/>
    <col min="8" max="8" width="12.109375" customWidth="1"/>
    <col min="9" max="9" width="20.33203125" customWidth="1"/>
    <col min="10" max="10" width="15.88671875" customWidth="1"/>
    <col min="11" max="11" width="24.33203125" customWidth="1"/>
    <col min="12" max="12" width="27.33203125" customWidth="1"/>
    <col min="13" max="13" width="12.33203125" customWidth="1"/>
    <col min="14" max="14" width="11.5546875" bestFit="1" customWidth="1"/>
    <col min="16" max="16" width="9.77734375" customWidth="1"/>
  </cols>
  <sheetData>
    <row r="3" spans="2:14">
      <c r="B3" t="s">
        <v>315</v>
      </c>
      <c r="G3" t="s">
        <v>160</v>
      </c>
      <c r="L3" t="s">
        <v>219</v>
      </c>
    </row>
    <row r="5" spans="2:14">
      <c r="B5" t="s">
        <v>110</v>
      </c>
      <c r="C5">
        <f>'Cennik Produkcja '!D214</f>
        <v>800</v>
      </c>
      <c r="G5" t="s">
        <v>153</v>
      </c>
      <c r="H5">
        <f>'Cennik Produkcja '!D221</f>
        <v>500</v>
      </c>
      <c r="L5" t="s">
        <v>110</v>
      </c>
      <c r="M5">
        <f>'Cennik Produkcja '!D206</f>
        <v>340</v>
      </c>
      <c r="N5" t="s">
        <v>27</v>
      </c>
    </row>
    <row r="6" spans="2:14">
      <c r="B6" t="s">
        <v>111</v>
      </c>
      <c r="C6">
        <f>'Cennik Produkcja '!E214</f>
        <v>800</v>
      </c>
      <c r="G6" t="s">
        <v>89</v>
      </c>
      <c r="H6">
        <f>'Cennik Produkcja '!D223+H5</f>
        <v>600</v>
      </c>
      <c r="L6" t="s">
        <v>111</v>
      </c>
      <c r="M6">
        <f>'Cennik Produkcja '!E206</f>
        <v>240</v>
      </c>
      <c r="N6" t="s">
        <v>27</v>
      </c>
    </row>
    <row r="7" spans="2:14">
      <c r="B7" t="s">
        <v>89</v>
      </c>
      <c r="C7">
        <f>'Cennik Produkcja '!D216</f>
        <v>100</v>
      </c>
    </row>
    <row r="8" spans="2:14">
      <c r="B8" t="s">
        <v>148</v>
      </c>
      <c r="C8" s="90">
        <f>C6*(SQRT(2))</f>
        <v>1131.3708498984761</v>
      </c>
    </row>
    <row r="12" spans="2:14">
      <c r="B12" t="s">
        <v>142</v>
      </c>
      <c r="C12">
        <f>(((C5*2)+(C6*2))*C7)+((((C6*2)+(C5*2))*C6)/2)</f>
        <v>1600000</v>
      </c>
      <c r="G12" t="s">
        <v>142</v>
      </c>
      <c r="H12" s="70">
        <f>((3.14*H5)*H6)/1000000</f>
        <v>0.94199999999999995</v>
      </c>
      <c r="I12" t="s">
        <v>19</v>
      </c>
      <c r="L12" t="s">
        <v>34</v>
      </c>
      <c r="M12" s="84">
        <f>((M5*M6)*1.1)/1000000</f>
        <v>8.9760000000000006E-2</v>
      </c>
      <c r="N12" t="s">
        <v>19</v>
      </c>
    </row>
    <row r="13" spans="2:14">
      <c r="B13" t="s">
        <v>143</v>
      </c>
      <c r="C13" s="90">
        <f>C5*C8</f>
        <v>905096.67991878092</v>
      </c>
      <c r="G13" t="s">
        <v>162</v>
      </c>
      <c r="H13" s="90">
        <f>H5/2</f>
        <v>250</v>
      </c>
      <c r="I13" s="90" t="s">
        <v>27</v>
      </c>
      <c r="L13" t="s">
        <v>65</v>
      </c>
      <c r="M13">
        <v>4</v>
      </c>
      <c r="N13" t="s">
        <v>10</v>
      </c>
    </row>
    <row r="14" spans="2:14">
      <c r="G14" t="s">
        <v>163</v>
      </c>
      <c r="H14" s="90">
        <f>(SQRT((H5^2)+(H5^2))/2)</f>
        <v>353.55339059327378</v>
      </c>
      <c r="I14" t="s">
        <v>27</v>
      </c>
      <c r="L14" t="s">
        <v>67</v>
      </c>
      <c r="M14">
        <v>4</v>
      </c>
      <c r="N14" t="s">
        <v>10</v>
      </c>
    </row>
    <row r="15" spans="2:14">
      <c r="B15" t="s">
        <v>120</v>
      </c>
      <c r="C15">
        <f>(C5+C5+C6+C6)/1000</f>
        <v>3.2</v>
      </c>
      <c r="D15" t="s">
        <v>450</v>
      </c>
      <c r="L15" t="s">
        <v>20</v>
      </c>
      <c r="M15">
        <f>((M5*2)+(M6*2))/1000</f>
        <v>1.1599999999999999</v>
      </c>
      <c r="N15" t="s">
        <v>2</v>
      </c>
    </row>
    <row r="16" spans="2:14">
      <c r="B16" t="s">
        <v>144</v>
      </c>
      <c r="C16">
        <v>4</v>
      </c>
      <c r="D16" t="s">
        <v>64</v>
      </c>
      <c r="G16" t="s">
        <v>161</v>
      </c>
      <c r="H16" s="70">
        <f>((3.14*H13*H14)/1000000)*1.2</f>
        <v>0.33304729393886384</v>
      </c>
    </row>
    <row r="17" spans="1:17">
      <c r="L17" t="s">
        <v>127</v>
      </c>
      <c r="M17" s="86">
        <f>((M5*0.059+M6*0.059)*2)*4.8/1000</f>
        <v>0.32851200000000003</v>
      </c>
      <c r="N17" t="s">
        <v>438</v>
      </c>
      <c r="O17" s="263" t="s">
        <v>127</v>
      </c>
      <c r="P17" s="264">
        <f>IF(OR(M5&gt;1000,M6&gt;1000),0.0001,M17)</f>
        <v>0.32851200000000003</v>
      </c>
      <c r="Q17" s="263" t="s">
        <v>17</v>
      </c>
    </row>
    <row r="18" spans="1:17">
      <c r="B18" t="s">
        <v>34</v>
      </c>
      <c r="C18" s="90">
        <f>C13</f>
        <v>905096.67991878092</v>
      </c>
      <c r="G18" t="s">
        <v>34</v>
      </c>
      <c r="H18" s="86">
        <f>(H5-8)^2/1000000</f>
        <v>0.242064</v>
      </c>
      <c r="I18" t="s">
        <v>19</v>
      </c>
      <c r="L18" t="s">
        <v>257</v>
      </c>
      <c r="M18" s="86">
        <f>((M5*0.059+M6*0.059)*2)*6.4/1000</f>
        <v>0.43801600000000002</v>
      </c>
      <c r="N18" t="s">
        <v>438</v>
      </c>
      <c r="O18" s="263" t="s">
        <v>257</v>
      </c>
      <c r="P18" s="264">
        <f>IF(OR(M5&gt;1000,M6&gt;1000),M18,0.0001)</f>
        <v>1E-4</v>
      </c>
      <c r="Q18" s="263" t="s">
        <v>17</v>
      </c>
    </row>
    <row r="19" spans="1:17">
      <c r="L19" t="s">
        <v>415</v>
      </c>
      <c r="M19" s="249">
        <f>IF(M5&gt;=4000,M6*0.368*4.8/1000,IF(M5&gt;=3000,M6*0.276*4.8/1000,IF(M5&gt;=2000,M6*0.184*4.8/1000,IF(M5&gt;1000,M6*0.092*4.8/1000,IF(M5&lt;=1000,0)))))</f>
        <v>0</v>
      </c>
      <c r="N19" t="s">
        <v>438</v>
      </c>
      <c r="O19" s="263" t="s">
        <v>127</v>
      </c>
      <c r="P19" s="265">
        <f>IF(OR(M5&gt;1000,M5&gt;1000),M19,0)</f>
        <v>0</v>
      </c>
      <c r="Q19" s="263" t="s">
        <v>17</v>
      </c>
    </row>
    <row r="20" spans="1:17">
      <c r="B20" t="s">
        <v>145</v>
      </c>
      <c r="C20">
        <v>0.6</v>
      </c>
      <c r="G20" t="s">
        <v>145</v>
      </c>
      <c r="H20">
        <v>0.6</v>
      </c>
      <c r="L20" t="s">
        <v>414</v>
      </c>
      <c r="M20" s="86">
        <f>IF(M6&gt;=2500,M5*0.092*4.8/1000,IF(M6&lt;2500,0))</f>
        <v>0</v>
      </c>
      <c r="N20" t="s">
        <v>438</v>
      </c>
      <c r="O20" s="263" t="s">
        <v>127</v>
      </c>
      <c r="P20" s="265">
        <f>IF(OR(M6&gt;=2500,M6&gt;=2500),M20,0)</f>
        <v>0</v>
      </c>
      <c r="Q20" s="263" t="s">
        <v>17</v>
      </c>
    </row>
    <row r="21" spans="1:17">
      <c r="B21" t="s">
        <v>146</v>
      </c>
      <c r="C21">
        <v>8</v>
      </c>
      <c r="G21" t="s">
        <v>146</v>
      </c>
      <c r="H21">
        <v>8</v>
      </c>
      <c r="L21" t="s">
        <v>417</v>
      </c>
      <c r="M21" s="86">
        <f>IF(M5&gt;=4000,M6*0.48*6.4/1000,IF(M5&gt;=3000,M6*0.36*6.4/1000,IF(M5&gt;=2000,M6*0.24*6.4/1000,IF(M5&gt;1000,M6*0.12*6.4/1000,IF(M5&lt;=1000,0)))))</f>
        <v>0</v>
      </c>
      <c r="N21" t="s">
        <v>438</v>
      </c>
      <c r="O21" s="263" t="s">
        <v>257</v>
      </c>
      <c r="P21" s="266">
        <f>IF(OR(M5&gt;1000,M5&gt;1000),M21,0)</f>
        <v>0</v>
      </c>
      <c r="Q21" s="263" t="s">
        <v>17</v>
      </c>
    </row>
    <row r="22" spans="1:17">
      <c r="L22" t="s">
        <v>416</v>
      </c>
      <c r="M22" s="86">
        <f>IF(M6&gt;=2500,M5*0.12*6.4/1000,IF(M6&gt;=1800,M5*0.06*6.4/1000,IF(M6&gt;1000,M5*0.03*6.4/1000,IF(M6&lt;=1000,0))))</f>
        <v>0</v>
      </c>
      <c r="N22" t="s">
        <v>438</v>
      </c>
      <c r="O22" s="263" t="s">
        <v>257</v>
      </c>
      <c r="P22" s="266">
        <f>IF(OR(M6&gt;1000,M6&gt;1000),M22,0)</f>
        <v>0</v>
      </c>
      <c r="Q22" s="263" t="s">
        <v>17</v>
      </c>
    </row>
    <row r="23" spans="1:17">
      <c r="B23" t="s">
        <v>448</v>
      </c>
      <c r="C23">
        <f>(C21*C20*C12)/1000000</f>
        <v>7.68</v>
      </c>
      <c r="D23" t="s">
        <v>17</v>
      </c>
      <c r="G23" t="s">
        <v>147</v>
      </c>
      <c r="H23" s="70">
        <f>H12*H20*H21</f>
        <v>4.5215999999999994</v>
      </c>
      <c r="I23" t="s">
        <v>17</v>
      </c>
      <c r="M23" s="86"/>
    </row>
    <row r="24" spans="1:17">
      <c r="C24">
        <f>C23/1000</f>
        <v>7.6799999999999993E-3</v>
      </c>
      <c r="D24" t="s">
        <v>23</v>
      </c>
      <c r="H24" s="70">
        <f>H23/1000</f>
        <v>4.5215999999999998E-3</v>
      </c>
      <c r="I24" t="s">
        <v>23</v>
      </c>
      <c r="M24" s="86"/>
    </row>
    <row r="25" spans="1:17">
      <c r="B25" t="s">
        <v>449</v>
      </c>
      <c r="C25">
        <f>C21*0.8*C12/1000000</f>
        <v>10.24</v>
      </c>
      <c r="D25" t="s">
        <v>17</v>
      </c>
      <c r="G25" s="70"/>
      <c r="M25" s="86"/>
    </row>
    <row r="26" spans="1:17">
      <c r="M26" s="86"/>
    </row>
    <row r="28" spans="1:17">
      <c r="A28" s="54" t="s">
        <v>100</v>
      </c>
      <c r="B28" s="13" t="s">
        <v>4</v>
      </c>
      <c r="C28" s="10" t="s">
        <v>5</v>
      </c>
      <c r="F28" s="54" t="s">
        <v>100</v>
      </c>
      <c r="G28" s="13" t="s">
        <v>4</v>
      </c>
      <c r="H28" s="10" t="s">
        <v>5</v>
      </c>
      <c r="K28" s="54" t="s">
        <v>100</v>
      </c>
      <c r="L28" s="13" t="s">
        <v>4</v>
      </c>
      <c r="M28" s="10" t="s">
        <v>5</v>
      </c>
      <c r="O28" s="13" t="s">
        <v>6</v>
      </c>
      <c r="P28" s="13" t="s">
        <v>7</v>
      </c>
    </row>
    <row r="29" spans="1:17">
      <c r="A29" t="s">
        <v>176</v>
      </c>
      <c r="B29" t="s">
        <v>127</v>
      </c>
      <c r="C29" s="86">
        <f>IF(OR(C5&gt;1000,C6&gt;1000),0.0001,C23)</f>
        <v>7.68</v>
      </c>
      <c r="D29" t="s">
        <v>17</v>
      </c>
      <c r="F29" t="s">
        <v>176</v>
      </c>
      <c r="G29" t="s">
        <v>127</v>
      </c>
      <c r="H29" s="70">
        <f>H23</f>
        <v>4.5215999999999994</v>
      </c>
      <c r="I29" t="s">
        <v>17</v>
      </c>
      <c r="K29" t="s">
        <v>149</v>
      </c>
      <c r="L29" t="s">
        <v>34</v>
      </c>
      <c r="M29" s="84">
        <f>((M5*M6)*1.1)/1000000</f>
        <v>8.9760000000000006E-2</v>
      </c>
      <c r="N29" t="s">
        <v>19</v>
      </c>
      <c r="O29" s="195">
        <v>17</v>
      </c>
      <c r="P29" s="195">
        <f>O29*M29</f>
        <v>1.5259200000000002</v>
      </c>
    </row>
    <row r="30" spans="1:17">
      <c r="A30" s="100" t="s">
        <v>246</v>
      </c>
      <c r="B30" t="s">
        <v>257</v>
      </c>
      <c r="C30" s="86">
        <f>IF(OR(C5&gt;1000,C6&gt;1000),C25,0.0001)</f>
        <v>1E-4</v>
      </c>
      <c r="D30" t="s">
        <v>17</v>
      </c>
      <c r="F30" t="s">
        <v>968</v>
      </c>
      <c r="G30" t="s">
        <v>34</v>
      </c>
      <c r="H30" s="70">
        <f>H18/3.125</f>
        <v>7.7460479999999998E-2</v>
      </c>
      <c r="I30" t="s">
        <v>64</v>
      </c>
      <c r="K30" t="s">
        <v>337</v>
      </c>
      <c r="L30" t="s">
        <v>65</v>
      </c>
      <c r="M30" s="90">
        <f>IF(OR(M5&gt;1000,M6&gt;1000),0.0001,4)</f>
        <v>4</v>
      </c>
      <c r="N30" t="s">
        <v>10</v>
      </c>
      <c r="O30" s="195">
        <f>'Ceny składowe'!C20</f>
        <v>0.27</v>
      </c>
      <c r="P30" s="195">
        <f>O30*M30</f>
        <v>1.08</v>
      </c>
      <c r="Q30" s="2"/>
    </row>
    <row r="31" spans="1:17">
      <c r="A31" t="s">
        <v>149</v>
      </c>
      <c r="B31" t="s">
        <v>34</v>
      </c>
      <c r="C31" s="84">
        <f>C18/1000000</f>
        <v>0.90509667991878096</v>
      </c>
      <c r="D31" t="s">
        <v>19</v>
      </c>
      <c r="F31" s="49" t="s">
        <v>555</v>
      </c>
      <c r="G31" t="s">
        <v>592</v>
      </c>
      <c r="H31" s="70">
        <f>IF(H5&lt;=200,0.005,IF(H5&gt;200,0.01))</f>
        <v>0.01</v>
      </c>
      <c r="I31" t="s">
        <v>64</v>
      </c>
      <c r="K31" t="s">
        <v>336</v>
      </c>
      <c r="L31" t="s">
        <v>67</v>
      </c>
      <c r="M31" s="90">
        <f>IF(OR(M5&gt;1000,M6&gt;1000),4,0.0001)</f>
        <v>1E-4</v>
      </c>
      <c r="N31" t="s">
        <v>10</v>
      </c>
      <c r="O31" s="195">
        <v>0.75</v>
      </c>
      <c r="P31" s="195">
        <f>O31*M31</f>
        <v>7.5000000000000007E-5</v>
      </c>
    </row>
    <row r="32" spans="1:17">
      <c r="A32" t="s">
        <v>337</v>
      </c>
      <c r="B32" t="s">
        <v>65</v>
      </c>
      <c r="C32" s="9">
        <f>IF(OR(C5&gt;1000,C6&gt;1000),0.0001,C16)</f>
        <v>4</v>
      </c>
      <c r="D32" t="s">
        <v>64</v>
      </c>
      <c r="F32" s="49"/>
      <c r="H32" s="70"/>
      <c r="K32" t="s">
        <v>334</v>
      </c>
      <c r="L32" t="s">
        <v>220</v>
      </c>
      <c r="M32" s="86">
        <f>IF(OR(M5&gt;1000,M6&gt;1000),0.0001,M15)</f>
        <v>1.1599999999999999</v>
      </c>
      <c r="N32" t="s">
        <v>2</v>
      </c>
      <c r="O32" s="195">
        <f>'Ceny składowe'!C34</f>
        <v>1.89</v>
      </c>
      <c r="P32" s="195">
        <f>O32*M32</f>
        <v>2.1923999999999997</v>
      </c>
      <c r="Q32" s="2"/>
    </row>
    <row r="33" spans="1:17">
      <c r="A33" t="s">
        <v>336</v>
      </c>
      <c r="B33" t="s">
        <v>67</v>
      </c>
      <c r="C33" s="9">
        <f>IF(OR(C5&gt;1000,C6&gt;1000),C16,0.0001)</f>
        <v>1E-4</v>
      </c>
      <c r="D33" t="s">
        <v>64</v>
      </c>
      <c r="G33" t="s">
        <v>127</v>
      </c>
      <c r="H33" s="86">
        <f>H29</f>
        <v>4.5215999999999994</v>
      </c>
      <c r="I33" s="195">
        <f>'Ceny składowe'!C6</f>
        <v>4.3</v>
      </c>
      <c r="J33" s="195">
        <f>H33*I33</f>
        <v>19.442879999999995</v>
      </c>
      <c r="K33" t="s">
        <v>406</v>
      </c>
      <c r="L33" t="s">
        <v>221</v>
      </c>
      <c r="M33" s="86">
        <f>IF(OR(M5&gt;1000,M6&gt;1000),M15,0.0001)</f>
        <v>1E-4</v>
      </c>
      <c r="N33" t="s">
        <v>2</v>
      </c>
      <c r="O33" s="195">
        <v>2.71</v>
      </c>
      <c r="P33" s="195">
        <f>O33*M33</f>
        <v>2.7100000000000003E-4</v>
      </c>
      <c r="Q33" s="2"/>
    </row>
    <row r="34" spans="1:17">
      <c r="A34" t="s">
        <v>334</v>
      </c>
      <c r="B34" t="s">
        <v>330</v>
      </c>
      <c r="C34" s="9">
        <f>IF(OR(C5&gt;1000,C6&gt;1000),0.0001,C15)</f>
        <v>3.2</v>
      </c>
      <c r="D34" t="s">
        <v>2</v>
      </c>
      <c r="G34" t="s">
        <v>135</v>
      </c>
      <c r="H34" s="70">
        <f>H30</f>
        <v>7.7460479999999998E-2</v>
      </c>
      <c r="I34" s="195">
        <f>'Ceny składowe'!C67</f>
        <v>100</v>
      </c>
      <c r="J34" s="195">
        <f>H34*I34</f>
        <v>7.746048</v>
      </c>
      <c r="K34" t="s">
        <v>176</v>
      </c>
      <c r="L34" t="s">
        <v>127</v>
      </c>
      <c r="M34" s="86">
        <f>P17+P19+P20</f>
        <v>0.32851200000000003</v>
      </c>
      <c r="N34" t="s">
        <v>17</v>
      </c>
      <c r="O34" s="198">
        <f>'Ceny składowe'!C6</f>
        <v>4.3</v>
      </c>
      <c r="P34" s="250">
        <f>M34*O34</f>
        <v>1.4126016000000001</v>
      </c>
    </row>
    <row r="35" spans="1:17">
      <c r="A35" t="s">
        <v>406</v>
      </c>
      <c r="B35" t="s">
        <v>331</v>
      </c>
      <c r="C35" s="9">
        <f>IF(OR(C5&gt;1000,C6&gt;1000),C15,0.0001)</f>
        <v>1E-4</v>
      </c>
      <c r="D35" t="s">
        <v>2</v>
      </c>
      <c r="G35" t="s">
        <v>592</v>
      </c>
      <c r="H35" s="70">
        <f>H31</f>
        <v>0.01</v>
      </c>
      <c r="I35" s="195">
        <f>'Ceny składowe'!C71</f>
        <v>14.9</v>
      </c>
      <c r="J35" s="195">
        <f>H35*I35</f>
        <v>0.14899999999999999</v>
      </c>
      <c r="K35" t="s">
        <v>246</v>
      </c>
      <c r="L35" t="s">
        <v>257</v>
      </c>
      <c r="M35" s="86">
        <f>P18+P21+P22</f>
        <v>1E-4</v>
      </c>
      <c r="N35" t="s">
        <v>17</v>
      </c>
      <c r="O35" s="198">
        <v>4.0599999999999996</v>
      </c>
      <c r="P35" s="195">
        <f>M35*O35</f>
        <v>4.06E-4</v>
      </c>
    </row>
    <row r="36" spans="1:17">
      <c r="I36" t="s">
        <v>22</v>
      </c>
      <c r="J36" s="195">
        <f>J33+J34+J35</f>
        <v>27.337927999999998</v>
      </c>
    </row>
    <row r="37" spans="1:17">
      <c r="F37" s="236" t="s">
        <v>411</v>
      </c>
      <c r="G37" s="251">
        <f>_xlfn.IFS(
    H5&lt;=200,  10,
    H5&lt;=250,  11,
    H5&lt;=315,  13,
    H5&lt;=500,  15,
    H5&lt;=710,  20,
    H5&lt;=1000, 25
)</f>
        <v>15</v>
      </c>
      <c r="H37" s="237" t="s">
        <v>412</v>
      </c>
      <c r="I37" s="261">
        <f>'Ceny składowe'!C94</f>
        <v>0.7</v>
      </c>
      <c r="J37" s="261">
        <f>G37*I37</f>
        <v>10.5</v>
      </c>
      <c r="O37" s="2"/>
      <c r="P37" s="2"/>
    </row>
    <row r="38" spans="1:17">
      <c r="F38" s="159"/>
      <c r="G38" s="74"/>
      <c r="H38" s="237" t="s">
        <v>418</v>
      </c>
      <c r="I38" s="237" t="s">
        <v>419</v>
      </c>
      <c r="J38" s="261">
        <f>J36+J37</f>
        <v>37.837927999999998</v>
      </c>
      <c r="O38" s="125"/>
      <c r="P38" s="195"/>
    </row>
    <row r="39" spans="1:17">
      <c r="C39" s="13" t="s">
        <v>6</v>
      </c>
      <c r="D39" s="13" t="s">
        <v>7</v>
      </c>
      <c r="O39" s="54"/>
      <c r="P39" s="126"/>
    </row>
    <row r="40" spans="1:17">
      <c r="B40" t="s">
        <v>127</v>
      </c>
      <c r="C40" s="195">
        <f>'Ceny składowe'!C6</f>
        <v>4.3</v>
      </c>
      <c r="D40" s="195">
        <f t="shared" ref="D40:D46" si="0">C29*C40</f>
        <v>33.024000000000001</v>
      </c>
      <c r="G40">
        <v>100</v>
      </c>
      <c r="H40" s="199">
        <v>36.340000000000003</v>
      </c>
      <c r="I40" s="129" t="s">
        <v>296</v>
      </c>
      <c r="J40" s="195">
        <f>'Cennik Produkcja '!G221</f>
        <v>117.94</v>
      </c>
      <c r="O40" s="123" t="s">
        <v>43</v>
      </c>
      <c r="P40" s="195">
        <f>SUM(P29:P35)</f>
        <v>6.2116735999999992</v>
      </c>
    </row>
    <row r="41" spans="1:17">
      <c r="B41" t="s">
        <v>257</v>
      </c>
      <c r="C41" s="195">
        <f>'Ceny składowe'!C7</f>
        <v>4.2</v>
      </c>
      <c r="D41" s="195">
        <f t="shared" si="0"/>
        <v>4.2000000000000002E-4</v>
      </c>
      <c r="G41">
        <v>125</v>
      </c>
      <c r="H41" s="199">
        <v>37.61</v>
      </c>
      <c r="I41" s="129" t="s">
        <v>294</v>
      </c>
      <c r="J41" s="234">
        <f>(J40-J38)/J38</f>
        <v>2.1169782869717388</v>
      </c>
      <c r="O41" s="2"/>
      <c r="P41" s="2"/>
    </row>
    <row r="42" spans="1:17">
      <c r="B42" t="s">
        <v>34</v>
      </c>
      <c r="C42" s="195">
        <f>'Ceny składowe'!C42</f>
        <v>17.2</v>
      </c>
      <c r="D42" s="195">
        <f t="shared" si="0"/>
        <v>15.567662894603032</v>
      </c>
      <c r="G42">
        <v>160</v>
      </c>
      <c r="H42" s="199">
        <v>41.75</v>
      </c>
      <c r="O42" s="125" t="s">
        <v>293</v>
      </c>
      <c r="P42" s="195">
        <f>P40 * ((
  IF(M5&lt;=200, 9,
  IF(M5&lt;=250, 8.2,
  IF(M5&lt;=300, 7.5,
  IF(M5&lt;=350, 6.8,
  IF(M5&lt;=400, 6.2,
  IF(M5&lt;1000, 5.6,
  IF(M5=1000, 5.4,
  IF(M5&lt;=1500, 3.7, 3.3))))))))
  +
  IF(M6&lt;=200, 9,
  IF(M6&lt;=250, 8.2,
  IF(M6&lt;=300, 7.5,
  IF(M6&lt;=350, 6.8,
  IF(M6&lt;=400, 6.2,
  IF(M6&lt;1000, 5.6,
  IF(M6=1000, 5.4,
  IF(M6&lt;=1500, 3.7, 3.3))))))))
) / 2)</f>
        <v>46.587551999999995</v>
      </c>
    </row>
    <row r="43" spans="1:17">
      <c r="B43" t="s">
        <v>65</v>
      </c>
      <c r="C43" s="195">
        <f>'Ceny składowe'!C20</f>
        <v>0.27</v>
      </c>
      <c r="D43" s="195">
        <f t="shared" si="0"/>
        <v>1.08</v>
      </c>
      <c r="G43">
        <v>180</v>
      </c>
      <c r="H43" s="199">
        <v>43.46</v>
      </c>
      <c r="O43" s="54" t="s">
        <v>294</v>
      </c>
      <c r="P43" s="126">
        <f>(P42-O46)/O46</f>
        <v>1.7877251025295278</v>
      </c>
    </row>
    <row r="44" spans="1:17">
      <c r="B44" t="s">
        <v>67</v>
      </c>
      <c r="C44" s="195">
        <v>0.75</v>
      </c>
      <c r="D44" s="195">
        <f t="shared" si="0"/>
        <v>7.5000000000000007E-5</v>
      </c>
      <c r="G44">
        <v>200</v>
      </c>
      <c r="H44" s="199">
        <v>45.17</v>
      </c>
    </row>
    <row r="45" spans="1:17">
      <c r="B45" t="s">
        <v>330</v>
      </c>
      <c r="C45" s="195">
        <f>'Ceny składowe'!C34</f>
        <v>1.89</v>
      </c>
      <c r="D45" s="195">
        <f t="shared" si="0"/>
        <v>6.048</v>
      </c>
      <c r="G45">
        <v>225</v>
      </c>
      <c r="H45" s="199">
        <v>49.91</v>
      </c>
      <c r="K45" s="236" t="s">
        <v>411</v>
      </c>
      <c r="L45" s="251">
        <f>_xlfn.IFS(
    AND(M5&lt;=500,  M6&lt;=500),  15,
    AND(M5&lt;=1000, M6&lt;=1000), 20,
    AND(M5&lt;=2000, M6&lt;=1000), 35,
    AND(M5&lt;=1000, M6&lt;=2000), 35,
    AND(M5&lt;=2000, M6&lt;=2000), 40,
    AND(M5&lt;=3000, M6&lt;=2000), 80,
    AND(M5&lt;=2000, M6&lt;=3000), 80,
    AND(M5&lt;=3000, M6&lt;=3000), 100,
    AND(M5&lt;=4000, M6&lt;=3000), 130,
    AND(M5&lt;=3000, M6&lt;=4000), 130,
    AND(M5&lt;=4000, M6&lt;=4000), 150,
    AND(M5&lt;5000,  M6&lt;=4000), 180,
    AND(M5&lt;=4000, M6&lt;5000),  180,
    AND(M5&lt;5000,  M6&lt;5000),  200
)</f>
        <v>15</v>
      </c>
      <c r="M45" s="237" t="s">
        <v>412</v>
      </c>
      <c r="N45" s="239">
        <f>'Ceny składowe'!C94</f>
        <v>0.7</v>
      </c>
      <c r="O45" s="238">
        <f>L45*N45</f>
        <v>10.5</v>
      </c>
    </row>
    <row r="46" spans="1:17">
      <c r="B46" t="s">
        <v>331</v>
      </c>
      <c r="C46" s="195">
        <f>'Ceny składowe'!C36</f>
        <v>2.92</v>
      </c>
      <c r="D46" s="195">
        <f t="shared" si="0"/>
        <v>2.92E-4</v>
      </c>
      <c r="G46">
        <v>250</v>
      </c>
      <c r="H46" s="199">
        <v>54.65</v>
      </c>
      <c r="K46" s="159"/>
      <c r="L46" s="74"/>
      <c r="M46" s="237" t="s">
        <v>418</v>
      </c>
      <c r="N46" s="237" t="s">
        <v>419</v>
      </c>
      <c r="O46" s="240">
        <f>P40+O45</f>
        <v>16.711673599999997</v>
      </c>
    </row>
    <row r="47" spans="1:17">
      <c r="C47" s="123" t="s">
        <v>43</v>
      </c>
      <c r="D47" s="197">
        <f>SUM(D40:D46)</f>
        <v>55.720449894603036</v>
      </c>
      <c r="G47">
        <v>280</v>
      </c>
      <c r="H47" s="199">
        <v>56.81</v>
      </c>
    </row>
    <row r="48" spans="1:17">
      <c r="D48" s="197"/>
      <c r="G48">
        <v>315</v>
      </c>
      <c r="H48" s="199">
        <v>64.89</v>
      </c>
    </row>
    <row r="49" spans="1:8">
      <c r="C49" s="125" t="s">
        <v>293</v>
      </c>
      <c r="D49" s="197">
        <f>IF(AND(C5&lt;200,C6&lt;200),D47*10.4,IF(AND(C5&lt;=300,C6&lt;=300),D47*9,IF(AND(C5&gt;=300,C6&gt;=300),D47*6,IF(AND(C5&gt;=300,C6&lt;300),D47*7,IF(AND(C5&lt;300,C6&gt;=300),D47*7)))))</f>
        <v>334.32269936761821</v>
      </c>
      <c r="G49">
        <v>355</v>
      </c>
      <c r="H49" s="199">
        <v>73.12</v>
      </c>
    </row>
    <row r="50" spans="1:8">
      <c r="C50" s="54" t="s">
        <v>294</v>
      </c>
      <c r="D50" s="130">
        <f>(D49-E53)/E53</f>
        <v>2.6851966646552872</v>
      </c>
      <c r="G50">
        <v>400</v>
      </c>
      <c r="H50" s="199">
        <v>86.47</v>
      </c>
    </row>
    <row r="51" spans="1:8">
      <c r="G51">
        <v>450</v>
      </c>
      <c r="H51" s="199">
        <v>99.96</v>
      </c>
    </row>
    <row r="52" spans="1:8">
      <c r="A52" s="236" t="s">
        <v>411</v>
      </c>
      <c r="B52" s="251">
        <f>_xlfn.IFS(
    MAX(C5,C6)&lt;=500,  30,
    MAX(C5,C6)&lt;=800,  50,
    MAX(C5,C6)&lt;=1000, 60,
    MAX(C5,C6)&lt;=1500, 90,
    MAX(C5,C6)&lt;=2000, 120,
    MAX(C5,C6)&lt;=3000, 150,
    MAX(C5,C6)&lt;=4000, 180
)</f>
        <v>50</v>
      </c>
      <c r="C52" s="237" t="s">
        <v>412</v>
      </c>
      <c r="D52" s="239">
        <f>'Ceny składowe'!C94</f>
        <v>0.7</v>
      </c>
      <c r="E52" s="238">
        <f>B52*D52</f>
        <v>35</v>
      </c>
      <c r="G52">
        <v>500</v>
      </c>
      <c r="H52" s="199">
        <v>117.94</v>
      </c>
    </row>
    <row r="53" spans="1:8">
      <c r="A53" s="159"/>
      <c r="B53" s="74"/>
      <c r="C53" s="237" t="s">
        <v>418</v>
      </c>
      <c r="D53" s="237" t="s">
        <v>419</v>
      </c>
      <c r="E53" s="240">
        <f>D47+E52</f>
        <v>90.720449894603036</v>
      </c>
      <c r="G53">
        <v>560</v>
      </c>
      <c r="H53" s="199">
        <v>128.51</v>
      </c>
    </row>
    <row r="54" spans="1:8">
      <c r="G54">
        <v>600</v>
      </c>
      <c r="H54" s="199">
        <v>136.94999999999999</v>
      </c>
    </row>
    <row r="55" spans="1:8">
      <c r="G55">
        <v>630</v>
      </c>
      <c r="H55" s="199">
        <v>153.41</v>
      </c>
    </row>
    <row r="56" spans="1:8">
      <c r="G56">
        <v>710</v>
      </c>
      <c r="H56" s="199">
        <v>172.2</v>
      </c>
    </row>
    <row r="57" spans="1:8">
      <c r="G57">
        <v>800</v>
      </c>
      <c r="H57" s="199">
        <v>187.43</v>
      </c>
    </row>
    <row r="58" spans="1:8">
      <c r="G58">
        <v>810</v>
      </c>
      <c r="H58" s="199">
        <v>208</v>
      </c>
    </row>
    <row r="59" spans="1:8">
      <c r="G59">
        <v>900</v>
      </c>
      <c r="H59" s="199">
        <v>215.51</v>
      </c>
    </row>
    <row r="60" spans="1:8">
      <c r="G60">
        <v>1000</v>
      </c>
      <c r="H60" s="199">
        <v>243.6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K32"/>
  <sheetViews>
    <sheetView workbookViewId="0">
      <selection activeCell="B3" sqref="B3"/>
    </sheetView>
  </sheetViews>
  <sheetFormatPr defaultRowHeight="14.4"/>
  <cols>
    <col min="1" max="1" width="20.5546875" customWidth="1"/>
    <col min="2" max="2" width="31.6640625" customWidth="1"/>
    <col min="3" max="3" width="11.33203125" customWidth="1"/>
    <col min="5" max="6" width="12.33203125" customWidth="1"/>
    <col min="7" max="7" width="12.6640625" customWidth="1"/>
    <col min="9" max="9" width="24.109375" customWidth="1"/>
    <col min="10" max="10" width="11.33203125" customWidth="1"/>
    <col min="11" max="11" width="9.44140625" bestFit="1" customWidth="1"/>
    <col min="13" max="13" width="13.44140625" customWidth="1"/>
  </cols>
  <sheetData>
    <row r="3" spans="2:8">
      <c r="B3" t="s">
        <v>398</v>
      </c>
    </row>
    <row r="6" spans="2:8">
      <c r="B6" t="s">
        <v>110</v>
      </c>
      <c r="C6">
        <f>'Cennik Produkcja '!D244</f>
        <v>570</v>
      </c>
      <c r="D6" t="s">
        <v>27</v>
      </c>
    </row>
    <row r="7" spans="2:8">
      <c r="B7" t="s">
        <v>111</v>
      </c>
      <c r="C7">
        <f>'Cennik Produkcja '!E244</f>
        <v>730</v>
      </c>
      <c r="D7" t="s">
        <v>27</v>
      </c>
    </row>
    <row r="8" spans="2:8">
      <c r="B8" t="s">
        <v>153</v>
      </c>
      <c r="C8" s="90">
        <f>'Cennik Produkcja '!D242+0.0001</f>
        <v>315.00009999999997</v>
      </c>
      <c r="D8" t="s">
        <v>27</v>
      </c>
      <c r="F8" s="621" t="s">
        <v>806</v>
      </c>
    </row>
    <row r="9" spans="2:8">
      <c r="B9" t="s">
        <v>154</v>
      </c>
      <c r="C9" s="90">
        <f>'Cennik Produkcja '!E242+0.0001</f>
        <v>1000.0001</v>
      </c>
      <c r="D9" t="s">
        <v>27</v>
      </c>
      <c r="F9" s="621"/>
    </row>
    <row r="10" spans="2:8">
      <c r="B10" t="s">
        <v>155</v>
      </c>
      <c r="C10">
        <v>50</v>
      </c>
      <c r="D10" t="s">
        <v>27</v>
      </c>
      <c r="F10" t="s">
        <v>785</v>
      </c>
    </row>
    <row r="11" spans="2:8">
      <c r="F11" s="621" t="s">
        <v>786</v>
      </c>
    </row>
    <row r="12" spans="2:8">
      <c r="B12" t="s">
        <v>156</v>
      </c>
      <c r="C12" s="70">
        <f>((C6*C7)-(((C8/2)*(C8/2))*3.14))/1000000</f>
        <v>0.33820832554499219</v>
      </c>
      <c r="D12" t="s">
        <v>19</v>
      </c>
      <c r="F12" s="621"/>
      <c r="H12" s="70"/>
    </row>
    <row r="13" spans="2:8">
      <c r="B13" t="s">
        <v>758</v>
      </c>
      <c r="C13" s="70">
        <f>(C8*3.14)*100/1000000+0.025</f>
        <v>0.12391003139999998</v>
      </c>
      <c r="D13" t="s">
        <v>19</v>
      </c>
      <c r="F13" s="621"/>
      <c r="H13" s="70"/>
    </row>
    <row r="14" spans="2:8">
      <c r="B14" t="s">
        <v>157</v>
      </c>
      <c r="C14" s="70">
        <f>(((C8*3.14)+7)*C9)/1000000</f>
        <v>0.99610041361003121</v>
      </c>
      <c r="D14" t="s">
        <v>19</v>
      </c>
      <c r="F14" s="621"/>
    </row>
    <row r="15" spans="2:8">
      <c r="B15" t="s">
        <v>158</v>
      </c>
      <c r="C15" s="70">
        <f>((C6+C7+C6+C7)*C10)/1000000</f>
        <v>0.13</v>
      </c>
      <c r="D15" t="s">
        <v>19</v>
      </c>
      <c r="F15" s="621"/>
    </row>
    <row r="16" spans="2:8">
      <c r="C16" s="70"/>
      <c r="F16" s="621"/>
    </row>
    <row r="17" spans="1:11">
      <c r="B17" t="s">
        <v>159</v>
      </c>
      <c r="C17" s="70">
        <f>C12+C13+C14+C15</f>
        <v>1.5882187705550233</v>
      </c>
      <c r="D17" t="s">
        <v>19</v>
      </c>
      <c r="F17" s="621"/>
    </row>
    <row r="19" spans="1:11">
      <c r="B19" t="s">
        <v>145</v>
      </c>
      <c r="C19">
        <v>0.8</v>
      </c>
      <c r="D19">
        <v>0.6</v>
      </c>
    </row>
    <row r="20" spans="1:11">
      <c r="B20" t="s">
        <v>146</v>
      </c>
      <c r="C20">
        <v>8</v>
      </c>
    </row>
    <row r="21" spans="1:11">
      <c r="I21" s="587" t="s">
        <v>805</v>
      </c>
      <c r="J21" s="587"/>
    </row>
    <row r="22" spans="1:11">
      <c r="B22" t="s">
        <v>147</v>
      </c>
      <c r="C22" s="70">
        <f>C19*C20*C17</f>
        <v>10.164600131552149</v>
      </c>
      <c r="D22" t="s">
        <v>17</v>
      </c>
      <c r="I22" t="s">
        <v>608</v>
      </c>
      <c r="J22" s="335">
        <f>'Ceny składowe'!C79</f>
        <v>2.1</v>
      </c>
      <c r="K22" t="s">
        <v>450</v>
      </c>
    </row>
    <row r="23" spans="1:11">
      <c r="C23" s="70">
        <f>C22/1000</f>
        <v>1.0164600131552149E-2</v>
      </c>
      <c r="D23" t="s">
        <v>23</v>
      </c>
      <c r="I23" s="92" t="s">
        <v>803</v>
      </c>
      <c r="J23" s="420">
        <f>C9/1000</f>
        <v>1.0000001000000001</v>
      </c>
      <c r="K23" t="s">
        <v>450</v>
      </c>
    </row>
    <row r="24" spans="1:11">
      <c r="I24" s="92" t="s">
        <v>802</v>
      </c>
      <c r="J24" s="196">
        <f>J23*J22</f>
        <v>2.1000002100000001</v>
      </c>
    </row>
    <row r="25" spans="1:11">
      <c r="A25" s="54" t="s">
        <v>100</v>
      </c>
      <c r="B25" s="13" t="s">
        <v>4</v>
      </c>
      <c r="C25" s="10" t="s">
        <v>5</v>
      </c>
      <c r="E25" s="13" t="s">
        <v>6</v>
      </c>
      <c r="F25" s="13" t="s">
        <v>800</v>
      </c>
      <c r="G25" s="13" t="s">
        <v>801</v>
      </c>
      <c r="I25" s="584" t="s">
        <v>963</v>
      </c>
      <c r="J25" s="196">
        <f>IF(C9&gt;20,10,0)</f>
        <v>10</v>
      </c>
    </row>
    <row r="26" spans="1:11">
      <c r="A26" t="s">
        <v>176</v>
      </c>
      <c r="B26" t="s">
        <v>127</v>
      </c>
      <c r="C26" s="86">
        <f>(C13+C14)*D19*C20</f>
        <v>5.3760501360481499</v>
      </c>
      <c r="D26" t="s">
        <v>17</v>
      </c>
      <c r="E26" s="198">
        <f>'Ceny składowe'!C6</f>
        <v>4.3</v>
      </c>
      <c r="F26" s="198">
        <f>(C13*D19*C20)*E26</f>
        <v>2.5575030480959993</v>
      </c>
      <c r="G26" s="195">
        <f>((C14*4.8)*E26)+J24+J25+J26</f>
        <v>52.659512746911048</v>
      </c>
      <c r="I26" t="s">
        <v>964</v>
      </c>
      <c r="J26" s="196">
        <f>IF(C9&gt;20,20,0)</f>
        <v>20</v>
      </c>
    </row>
    <row r="27" spans="1:11">
      <c r="A27" s="108" t="s">
        <v>246</v>
      </c>
      <c r="B27" t="s">
        <v>257</v>
      </c>
      <c r="C27" s="86">
        <f>(C12+C15)*C19*C20</f>
        <v>2.9965332834879503</v>
      </c>
      <c r="D27" t="s">
        <v>17</v>
      </c>
      <c r="E27" s="195">
        <f>'Ceny składowe'!C7</f>
        <v>4.2</v>
      </c>
      <c r="F27" s="195">
        <f>C27*E27</f>
        <v>12.585439790649392</v>
      </c>
    </row>
    <row r="28" spans="1:11">
      <c r="C28" s="86"/>
    </row>
    <row r="29" spans="1:11">
      <c r="B29" s="13"/>
      <c r="E29" s="10" t="s">
        <v>265</v>
      </c>
      <c r="F29" s="195">
        <f>F26+F27</f>
        <v>15.142942838745391</v>
      </c>
    </row>
    <row r="30" spans="1:11">
      <c r="E30" s="1"/>
      <c r="F30" s="74"/>
    </row>
    <row r="31" spans="1:11">
      <c r="C31" s="131"/>
      <c r="D31" s="131"/>
      <c r="E31" s="54" t="s">
        <v>293</v>
      </c>
      <c r="F31" s="195">
        <f>_xlfn.IFS(
  C8&lt;125, F29*18.1+G26,
  C8&lt;160, F29*18.6+G26,
  C8&lt;200, F29*17+G26,
  C8&lt;250, F29*17.2+G26,
  C8&lt;315, F29*17+G26,
  C8&lt;400, F29*17.6+G26,
  C8&gt;=400, F29*21.3+G26
)</f>
        <v>319.17530670882996</v>
      </c>
    </row>
    <row r="32" spans="1:11">
      <c r="E32" s="54" t="s">
        <v>294</v>
      </c>
      <c r="F32" s="128">
        <f>(F31-F29)/F29</f>
        <v>20.077495313009713</v>
      </c>
    </row>
  </sheetData>
  <mergeCells count="3">
    <mergeCell ref="F8:F9"/>
    <mergeCell ref="F11:F17"/>
    <mergeCell ref="I21:J21"/>
  </mergeCells>
  <pageMargins left="0.7" right="0.7" top="0.75" bottom="0.75" header="0.3" footer="0.3"/>
  <pageSetup paperSize="9" orientation="portrait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5:K28"/>
  <sheetViews>
    <sheetView topLeftCell="A4" workbookViewId="0">
      <selection activeCell="B31" sqref="B31"/>
    </sheetView>
  </sheetViews>
  <sheetFormatPr defaultRowHeight="14.4"/>
  <cols>
    <col min="1" max="1" width="21.88671875" customWidth="1"/>
    <col min="2" max="2" width="26" customWidth="1"/>
    <col min="5" max="5" width="11.109375" customWidth="1"/>
    <col min="9" max="9" width="11.6640625" customWidth="1"/>
  </cols>
  <sheetData>
    <row r="5" spans="1:11">
      <c r="B5" s="129" t="s">
        <v>178</v>
      </c>
    </row>
    <row r="6" spans="1:11">
      <c r="B6" s="92"/>
    </row>
    <row r="7" spans="1:11">
      <c r="B7" s="92" t="s">
        <v>140</v>
      </c>
    </row>
    <row r="8" spans="1:11">
      <c r="B8" s="92">
        <f>'Cennik Produkcja '!D313</f>
        <v>150</v>
      </c>
    </row>
    <row r="9" spans="1:11">
      <c r="H9" t="s">
        <v>140</v>
      </c>
      <c r="I9" s="1" t="s">
        <v>266</v>
      </c>
      <c r="K9" s="1"/>
    </row>
    <row r="10" spans="1:11">
      <c r="B10" s="92" t="s">
        <v>549</v>
      </c>
      <c r="C10" s="86">
        <f>(((B8*3.14*110)*4.8)/1000000)*1.1</f>
        <v>0.27355679999999999</v>
      </c>
      <c r="D10" t="s">
        <v>17</v>
      </c>
      <c r="H10">
        <v>100</v>
      </c>
      <c r="I10" s="2">
        <v>10.79</v>
      </c>
      <c r="K10" s="196"/>
    </row>
    <row r="11" spans="1:11">
      <c r="A11" s="1" t="s">
        <v>552</v>
      </c>
      <c r="B11" s="92" t="s">
        <v>550</v>
      </c>
      <c r="C11" s="86">
        <f>(B8*0.04+B8*0.092)*4.8/1000+C10</f>
        <v>0.36859679999999995</v>
      </c>
      <c r="D11" t="s">
        <v>17</v>
      </c>
      <c r="H11">
        <v>125</v>
      </c>
      <c r="I11" s="2">
        <v>11.44</v>
      </c>
      <c r="K11" s="196"/>
    </row>
    <row r="12" spans="1:11">
      <c r="A12" s="1" t="s">
        <v>553</v>
      </c>
      <c r="B12" s="92" t="s">
        <v>551</v>
      </c>
      <c r="C12" s="86">
        <f>((B8*0.04+B8*0.092)*2)*4.8/1000+C10</f>
        <v>0.46363679999999996</v>
      </c>
      <c r="D12" t="s">
        <v>17</v>
      </c>
      <c r="H12">
        <v>160</v>
      </c>
      <c r="I12" s="2">
        <v>14.61</v>
      </c>
      <c r="K12" s="196"/>
    </row>
    <row r="13" spans="1:11">
      <c r="B13" s="92" t="s">
        <v>634</v>
      </c>
      <c r="C13">
        <f>((((B8/2)^2)*3.14)/1000000)*1.2</f>
        <v>2.1195000000000002E-2</v>
      </c>
      <c r="D13" t="s">
        <v>19</v>
      </c>
      <c r="H13">
        <v>200</v>
      </c>
      <c r="I13" s="2">
        <v>18.25</v>
      </c>
      <c r="K13" s="196"/>
    </row>
    <row r="14" spans="1:11">
      <c r="H14">
        <v>250</v>
      </c>
      <c r="I14" s="2">
        <v>26.65</v>
      </c>
      <c r="K14" s="196"/>
    </row>
    <row r="15" spans="1:11">
      <c r="H15">
        <v>315</v>
      </c>
      <c r="I15" s="2">
        <v>32.630000000000003</v>
      </c>
      <c r="K15" s="196"/>
    </row>
    <row r="16" spans="1:11">
      <c r="H16">
        <v>355</v>
      </c>
      <c r="I16" s="2">
        <v>38.61</v>
      </c>
      <c r="K16" s="196"/>
    </row>
    <row r="17" spans="1:11">
      <c r="A17" s="54" t="s">
        <v>100</v>
      </c>
      <c r="B17" s="13" t="s">
        <v>4</v>
      </c>
      <c r="C17" s="10" t="s">
        <v>5</v>
      </c>
      <c r="E17" s="13" t="s">
        <v>6</v>
      </c>
      <c r="F17" s="13" t="s">
        <v>7</v>
      </c>
      <c r="H17">
        <v>400</v>
      </c>
      <c r="I17" s="2">
        <v>51</v>
      </c>
      <c r="K17" s="196"/>
    </row>
    <row r="18" spans="1:11">
      <c r="A18" s="54"/>
      <c r="B18" s="13"/>
      <c r="C18" s="10"/>
      <c r="H18">
        <v>450</v>
      </c>
      <c r="I18" s="2">
        <v>59</v>
      </c>
      <c r="K18" s="196"/>
    </row>
    <row r="19" spans="1:11">
      <c r="A19" t="s">
        <v>176</v>
      </c>
      <c r="B19" t="s">
        <v>127</v>
      </c>
      <c r="C19" s="84">
        <f>IF(B8&gt;1000,C12,IF(B8&gt;700,C11,IF(B8&lt;=700,C10)))</f>
        <v>0.27355679999999999</v>
      </c>
      <c r="D19" t="s">
        <v>17</v>
      </c>
      <c r="E19" s="199">
        <f>'Ceny składowe'!C6</f>
        <v>4.3</v>
      </c>
      <c r="F19" s="199">
        <f>E19*C10</f>
        <v>1.1762942399999998</v>
      </c>
      <c r="H19">
        <v>500</v>
      </c>
      <c r="I19" s="2">
        <v>69</v>
      </c>
      <c r="K19" s="259"/>
    </row>
    <row r="20" spans="1:11">
      <c r="A20" t="s">
        <v>947</v>
      </c>
      <c r="B20" t="s">
        <v>635</v>
      </c>
      <c r="C20" s="84">
        <f>IF(B8&lt;=1000,C13/3.125,0.0001)</f>
        <v>6.7824000000000009E-3</v>
      </c>
      <c r="D20" t="s">
        <v>64</v>
      </c>
      <c r="E20" s="199">
        <f>'Ceny składowe'!C67</f>
        <v>100</v>
      </c>
      <c r="F20" s="199">
        <f>E20*C20</f>
        <v>0.67824000000000007</v>
      </c>
      <c r="H20">
        <v>560</v>
      </c>
      <c r="I20" s="2">
        <v>80</v>
      </c>
      <c r="K20" s="196"/>
    </row>
    <row r="21" spans="1:11">
      <c r="A21" t="s">
        <v>149</v>
      </c>
      <c r="B21" t="s">
        <v>636</v>
      </c>
      <c r="C21" s="84">
        <f>IF(B8&gt;1000,C13,0.0001)</f>
        <v>1E-4</v>
      </c>
      <c r="D21" t="s">
        <v>19</v>
      </c>
      <c r="E21" s="199">
        <f>'Ceny składowe'!C42</f>
        <v>17.2</v>
      </c>
      <c r="F21" s="199">
        <f>C21*E21</f>
        <v>1.72E-3</v>
      </c>
      <c r="H21">
        <v>710</v>
      </c>
      <c r="I21" s="2">
        <v>96</v>
      </c>
      <c r="K21" s="196"/>
    </row>
    <row r="22" spans="1:11">
      <c r="E22" s="2"/>
      <c r="F22" s="2"/>
      <c r="H22">
        <v>800</v>
      </c>
      <c r="I22" s="2">
        <v>110</v>
      </c>
      <c r="K22" s="259"/>
    </row>
    <row r="23" spans="1:11">
      <c r="E23" s="92" t="s">
        <v>283</v>
      </c>
      <c r="F23" s="199">
        <f>SUM(F19:F22)</f>
        <v>1.8562542399999999</v>
      </c>
      <c r="H23">
        <v>900</v>
      </c>
      <c r="I23" s="2">
        <v>120</v>
      </c>
      <c r="K23" s="196"/>
    </row>
    <row r="24" spans="1:11">
      <c r="H24">
        <v>1000</v>
      </c>
      <c r="I24" s="2">
        <v>130</v>
      </c>
      <c r="K24" s="259"/>
    </row>
    <row r="25" spans="1:11">
      <c r="B25" s="236" t="s">
        <v>411</v>
      </c>
      <c r="C25" s="251">
        <f>IF(B8&lt;=250,7,IF(B8&lt;=315,10,IF(B8&lt;=450,15,IF(B8&lt;=560,20,IF(B8&lt;=700,30,IF(B8&lt;=1000,50,IF(B8&gt;1000,60)))))))</f>
        <v>7</v>
      </c>
      <c r="D25" s="237" t="s">
        <v>412</v>
      </c>
      <c r="E25" s="239">
        <f>'Ceny składowe'!C94</f>
        <v>0.7</v>
      </c>
      <c r="F25" s="238">
        <f>C25*E25</f>
        <v>4.8999999999999995</v>
      </c>
      <c r="H25">
        <v>1100</v>
      </c>
      <c r="I25" s="2">
        <v>140</v>
      </c>
      <c r="K25" s="196"/>
    </row>
    <row r="26" spans="1:11">
      <c r="B26" s="159"/>
      <c r="C26" s="74"/>
      <c r="D26" s="237" t="s">
        <v>418</v>
      </c>
      <c r="E26" s="237" t="s">
        <v>419</v>
      </c>
      <c r="F26" s="240">
        <f>F23+F25</f>
        <v>6.7562542399999996</v>
      </c>
      <c r="H26">
        <v>1200</v>
      </c>
      <c r="I26" s="2">
        <v>150</v>
      </c>
      <c r="K26" s="259"/>
    </row>
    <row r="27" spans="1:11">
      <c r="H27">
        <v>1250</v>
      </c>
      <c r="I27" s="2">
        <v>155</v>
      </c>
      <c r="K27" s="196"/>
    </row>
    <row r="28" spans="1:11">
      <c r="E28" s="129"/>
      <c r="F28" s="295"/>
    </row>
  </sheetData>
  <pageMargins left="0.7" right="0.7" top="0.75" bottom="0.75" header="0.3" footer="0.3"/>
  <pageSetup paperSize="256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P55"/>
  <sheetViews>
    <sheetView workbookViewId="0">
      <selection activeCell="F27" sqref="F27"/>
    </sheetView>
  </sheetViews>
  <sheetFormatPr defaultRowHeight="14.4"/>
  <cols>
    <col min="1" max="1" width="29.109375" customWidth="1"/>
    <col min="2" max="2" width="29" customWidth="1"/>
    <col min="3" max="3" width="12.109375" customWidth="1"/>
    <col min="4" max="4" width="11.6640625" customWidth="1"/>
    <col min="5" max="5" width="11.33203125" customWidth="1"/>
    <col min="6" max="6" width="11.109375" customWidth="1"/>
    <col min="8" max="8" width="31.6640625" customWidth="1"/>
    <col min="9" max="9" width="27.88671875" customWidth="1"/>
  </cols>
  <sheetData>
    <row r="4" spans="2:16">
      <c r="B4" t="s">
        <v>168</v>
      </c>
      <c r="I4" t="s">
        <v>169</v>
      </c>
    </row>
    <row r="6" spans="2:16">
      <c r="B6" t="s">
        <v>110</v>
      </c>
      <c r="C6">
        <f>'Cennik Produkcja '!D292</f>
        <v>500</v>
      </c>
      <c r="I6" t="s">
        <v>88</v>
      </c>
      <c r="J6">
        <f>'Cennik Produkcja '!D299</f>
        <v>250</v>
      </c>
      <c r="K6" t="s">
        <v>2</v>
      </c>
      <c r="O6">
        <v>100</v>
      </c>
      <c r="P6" s="2">
        <v>31.57</v>
      </c>
    </row>
    <row r="7" spans="2:16">
      <c r="B7" t="s">
        <v>111</v>
      </c>
      <c r="C7">
        <f>'Cennik Produkcja '!E292</f>
        <v>200</v>
      </c>
      <c r="O7">
        <v>125</v>
      </c>
      <c r="P7" s="2">
        <v>32.86</v>
      </c>
    </row>
    <row r="8" spans="2:16">
      <c r="I8" t="s">
        <v>170</v>
      </c>
      <c r="J8">
        <f>(J6*3.14)/1000</f>
        <v>0.78500000000000003</v>
      </c>
      <c r="K8" t="s">
        <v>2</v>
      </c>
      <c r="O8">
        <v>160</v>
      </c>
      <c r="P8" s="2">
        <v>35.049999999999997</v>
      </c>
    </row>
    <row r="9" spans="2:16">
      <c r="B9" t="s">
        <v>170</v>
      </c>
      <c r="C9">
        <f>(C6+C6+C7+C7)/1000</f>
        <v>1.4</v>
      </c>
      <c r="D9" t="s">
        <v>2</v>
      </c>
      <c r="I9" t="s">
        <v>171</v>
      </c>
      <c r="J9">
        <v>25</v>
      </c>
      <c r="K9" t="s">
        <v>2</v>
      </c>
      <c r="O9">
        <v>180</v>
      </c>
      <c r="P9" s="2">
        <v>36.200000000000003</v>
      </c>
    </row>
    <row r="10" spans="2:16">
      <c r="B10" t="s">
        <v>120</v>
      </c>
      <c r="C10">
        <f>C9*2</f>
        <v>2.8</v>
      </c>
      <c r="D10" t="s">
        <v>2</v>
      </c>
      <c r="O10">
        <v>200</v>
      </c>
      <c r="P10" s="2">
        <v>37.42</v>
      </c>
    </row>
    <row r="11" spans="2:16">
      <c r="B11" t="s">
        <v>21</v>
      </c>
      <c r="C11">
        <v>8</v>
      </c>
      <c r="D11" t="s">
        <v>10</v>
      </c>
      <c r="I11" t="s">
        <v>172</v>
      </c>
      <c r="J11" s="70">
        <f>J8/J9</f>
        <v>3.1400000000000004E-2</v>
      </c>
      <c r="O11">
        <v>250</v>
      </c>
      <c r="P11" s="2">
        <v>39.79</v>
      </c>
    </row>
    <row r="12" spans="2:16">
      <c r="B12" t="s">
        <v>173</v>
      </c>
      <c r="C12">
        <v>25</v>
      </c>
      <c r="D12" t="s">
        <v>2</v>
      </c>
      <c r="O12">
        <v>315</v>
      </c>
      <c r="P12" s="2">
        <v>43.28</v>
      </c>
    </row>
    <row r="13" spans="2:16">
      <c r="O13">
        <v>355</v>
      </c>
      <c r="P13" s="2">
        <v>45.05</v>
      </c>
    </row>
    <row r="14" spans="2:16">
      <c r="B14" t="s">
        <v>172</v>
      </c>
      <c r="C14">
        <f>(C9/C12)</f>
        <v>5.5999999999999994E-2</v>
      </c>
      <c r="O14">
        <v>400</v>
      </c>
      <c r="P14" s="2">
        <v>47.03</v>
      </c>
    </row>
    <row r="15" spans="2:16">
      <c r="O15">
        <v>450</v>
      </c>
      <c r="P15" s="2">
        <v>49.32</v>
      </c>
    </row>
    <row r="16" spans="2:16">
      <c r="O16">
        <v>500</v>
      </c>
      <c r="P16" s="2">
        <v>51.6</v>
      </c>
    </row>
    <row r="17" spans="1:16">
      <c r="O17">
        <v>560</v>
      </c>
      <c r="P17" s="2">
        <v>54.17</v>
      </c>
    </row>
    <row r="18" spans="1:16">
      <c r="A18" s="54" t="s">
        <v>100</v>
      </c>
      <c r="B18" s="13" t="s">
        <v>4</v>
      </c>
      <c r="C18" s="10" t="s">
        <v>5</v>
      </c>
      <c r="E18" s="13" t="s">
        <v>6</v>
      </c>
      <c r="F18" s="13" t="s">
        <v>7</v>
      </c>
      <c r="H18" s="54" t="s">
        <v>100</v>
      </c>
      <c r="I18" s="13" t="s">
        <v>4</v>
      </c>
      <c r="J18" s="10" t="s">
        <v>5</v>
      </c>
      <c r="L18" s="13" t="s">
        <v>6</v>
      </c>
      <c r="M18" s="13" t="s">
        <v>7</v>
      </c>
      <c r="O18">
        <v>630</v>
      </c>
      <c r="P18" s="2">
        <v>57.35</v>
      </c>
    </row>
    <row r="19" spans="1:16">
      <c r="A19" t="s">
        <v>337</v>
      </c>
      <c r="B19" t="s">
        <v>285</v>
      </c>
      <c r="C19" s="86">
        <f>IF(OR(C6&gt;1000,C7&gt;1000),0.0001,8)</f>
        <v>8</v>
      </c>
      <c r="D19" t="s">
        <v>10</v>
      </c>
      <c r="E19" s="196">
        <f>'Ceny składowe'!C20</f>
        <v>0.27</v>
      </c>
      <c r="F19" s="199">
        <f>E19*C19</f>
        <v>2.16</v>
      </c>
      <c r="H19" t="s">
        <v>174</v>
      </c>
      <c r="I19" t="s">
        <v>175</v>
      </c>
      <c r="J19" s="86">
        <f>J8*1.1</f>
        <v>0.86350000000000016</v>
      </c>
      <c r="K19" t="s">
        <v>2</v>
      </c>
      <c r="L19" s="196">
        <f>'Ceny składowe'!C17</f>
        <v>3.06</v>
      </c>
      <c r="M19" s="199">
        <f>L19*J19</f>
        <v>2.6423100000000006</v>
      </c>
      <c r="O19">
        <v>710</v>
      </c>
      <c r="P19" s="2">
        <v>61.76</v>
      </c>
    </row>
    <row r="20" spans="1:16">
      <c r="A20" s="5" t="s">
        <v>336</v>
      </c>
      <c r="B20" t="s">
        <v>286</v>
      </c>
      <c r="C20" s="86">
        <f>IF(OR(C6&gt;1000,C7&gt;1000),8,0.0001)</f>
        <v>1E-4</v>
      </c>
      <c r="D20" t="s">
        <v>10</v>
      </c>
      <c r="E20" s="196">
        <f>'Ceny składowe'!C22</f>
        <v>0.75</v>
      </c>
      <c r="F20" s="199">
        <f t="shared" ref="F20:F23" si="0">E20*C20</f>
        <v>7.5000000000000007E-5</v>
      </c>
      <c r="J20" s="86"/>
      <c r="M20" s="2"/>
      <c r="O20">
        <v>800</v>
      </c>
      <c r="P20" s="2">
        <v>65.599999999999994</v>
      </c>
    </row>
    <row r="21" spans="1:16">
      <c r="A21" t="s">
        <v>334</v>
      </c>
      <c r="B21" t="s">
        <v>220</v>
      </c>
      <c r="C21" s="86">
        <f>IF(OR(C6&gt;1000,C7&gt;1000),0.0001,((C6+C6+C7+C7)*2)/1000)</f>
        <v>2.8</v>
      </c>
      <c r="D21" t="s">
        <v>2</v>
      </c>
      <c r="E21" s="196">
        <f>'Ceny składowe'!C34</f>
        <v>1.89</v>
      </c>
      <c r="F21" s="199">
        <f t="shared" si="0"/>
        <v>5.2919999999999998</v>
      </c>
      <c r="J21" s="86"/>
      <c r="M21" s="2"/>
      <c r="O21">
        <v>900</v>
      </c>
      <c r="P21" s="2">
        <v>70.97</v>
      </c>
    </row>
    <row r="22" spans="1:16">
      <c r="A22" s="49" t="s">
        <v>406</v>
      </c>
      <c r="B22" t="s">
        <v>221</v>
      </c>
      <c r="C22" s="86">
        <f>IF(OR(C6&gt;1000,C7&gt;1000),((C6+C6+C7+C7)*2)/1000,0.0001)</f>
        <v>1E-4</v>
      </c>
      <c r="D22" t="s">
        <v>10</v>
      </c>
      <c r="E22" s="196">
        <f>'Ceny składowe'!C36</f>
        <v>2.92</v>
      </c>
      <c r="F22" s="199">
        <f t="shared" si="0"/>
        <v>2.92E-4</v>
      </c>
      <c r="J22" s="86"/>
      <c r="M22" s="2"/>
      <c r="O22">
        <v>1000</v>
      </c>
      <c r="P22" s="2">
        <v>76.58</v>
      </c>
    </row>
    <row r="23" spans="1:16">
      <c r="A23" t="s">
        <v>174</v>
      </c>
      <c r="B23" t="s">
        <v>175</v>
      </c>
      <c r="C23" s="86">
        <f>C9*1.1</f>
        <v>1.54</v>
      </c>
      <c r="D23" t="s">
        <v>2</v>
      </c>
      <c r="E23" s="196">
        <f>'Ceny składowe'!C17</f>
        <v>3.06</v>
      </c>
      <c r="F23" s="199">
        <f t="shared" si="0"/>
        <v>4.7124000000000006</v>
      </c>
      <c r="M23" s="2"/>
      <c r="O23">
        <v>1120</v>
      </c>
      <c r="P23" s="2">
        <v>81.739999999999995</v>
      </c>
    </row>
    <row r="24" spans="1:16">
      <c r="A24" s="5"/>
      <c r="C24" s="86"/>
      <c r="L24" s="129" t="s">
        <v>283</v>
      </c>
      <c r="M24" s="199">
        <f>SUM(M19:M21)</f>
        <v>2.6423100000000006</v>
      </c>
    </row>
    <row r="25" spans="1:16">
      <c r="E25" s="129" t="s">
        <v>283</v>
      </c>
      <c r="F25" s="259">
        <f>SUM(F19:F24)</f>
        <v>12.164767000000001</v>
      </c>
    </row>
    <row r="26" spans="1:16">
      <c r="F26" s="92"/>
      <c r="I26" s="236" t="s">
        <v>411</v>
      </c>
      <c r="J26" s="251">
        <f>IF(J6&lt;=200,10,IF(J6&lt;=400,12,IF(J6&lt;=800,15,IF(J6&lt;=1120,18))))</f>
        <v>12</v>
      </c>
      <c r="K26" s="237" t="s">
        <v>412</v>
      </c>
      <c r="L26" s="239">
        <f>'Ceny składowe'!C94</f>
        <v>0.7</v>
      </c>
      <c r="M26" s="238">
        <f>J26*L26</f>
        <v>8.3999999999999986</v>
      </c>
    </row>
    <row r="27" spans="1:16">
      <c r="E27" s="125" t="s">
        <v>293</v>
      </c>
      <c r="F27" s="196">
        <f>IF(D49=E49,F51,F52)</f>
        <v>99.619399999999999</v>
      </c>
      <c r="G27" s="196"/>
      <c r="I27" s="159"/>
      <c r="J27" s="74"/>
      <c r="K27" s="237" t="s">
        <v>418</v>
      </c>
      <c r="L27" s="237" t="s">
        <v>419</v>
      </c>
      <c r="M27" s="240">
        <f>M24+M26</f>
        <v>11.042309999999999</v>
      </c>
    </row>
    <row r="28" spans="1:16">
      <c r="E28" s="54" t="s">
        <v>294</v>
      </c>
      <c r="F28" s="130">
        <f>(F27-F31)/F31</f>
        <v>2.3581723395973411</v>
      </c>
    </row>
    <row r="30" spans="1:16">
      <c r="B30" s="236" t="s">
        <v>411</v>
      </c>
      <c r="C30" s="251">
        <f>IF(AND(C6&lt;=1000,C7&lt;=1000),25,IF(AND(C6&lt;=1000,C7&gt;1000),30,IF(AND(C6&gt;1000,C7&lt;=1000),30,IF(AND(C6&gt;1000,C7&gt;1000),40))))</f>
        <v>25</v>
      </c>
      <c r="D30" s="237" t="s">
        <v>412</v>
      </c>
      <c r="E30" s="239">
        <f>'Ceny składowe'!C94</f>
        <v>0.7</v>
      </c>
      <c r="F30" s="238">
        <f>C30*E30</f>
        <v>17.5</v>
      </c>
    </row>
    <row r="31" spans="1:16">
      <c r="B31" s="159"/>
      <c r="C31" s="74"/>
      <c r="D31" s="237" t="s">
        <v>418</v>
      </c>
      <c r="E31" s="237" t="s">
        <v>419</v>
      </c>
      <c r="F31" s="240">
        <f>F25+F30</f>
        <v>29.664767000000001</v>
      </c>
    </row>
    <row r="33" spans="1:6">
      <c r="B33" s="177" t="s">
        <v>45</v>
      </c>
      <c r="C33" s="54" t="s">
        <v>296</v>
      </c>
      <c r="D33" s="54" t="s">
        <v>644</v>
      </c>
      <c r="E33" s="54" t="s">
        <v>645</v>
      </c>
      <c r="F33" s="54" t="s">
        <v>641</v>
      </c>
    </row>
    <row r="34" spans="1:6">
      <c r="A34" s="92" t="s">
        <v>737</v>
      </c>
      <c r="B34" s="385">
        <v>8.65</v>
      </c>
      <c r="C34" s="196">
        <f>ROUND(F25*(1+B34),2)</f>
        <v>117.39</v>
      </c>
      <c r="D34" s="196">
        <f>IF(C6&lt;=200,C34,0)</f>
        <v>0</v>
      </c>
      <c r="E34" s="196">
        <f>IF(C7&lt;=200,C34,0)</f>
        <v>117.39</v>
      </c>
      <c r="F34" t="b">
        <f t="shared" ref="F34:F36" si="1">IF(AND(D34&gt;0,E34&gt;0),D34)</f>
        <v>0</v>
      </c>
    </row>
    <row r="35" spans="1:6">
      <c r="A35" s="92" t="s">
        <v>738</v>
      </c>
      <c r="B35" s="386">
        <v>7.55</v>
      </c>
      <c r="C35" s="196">
        <f>ROUND(F25*(1+B35),2)</f>
        <v>104.01</v>
      </c>
      <c r="D35" s="196">
        <f>IF(AND(C6&lt;=300,C6&gt;200),C35,0)</f>
        <v>0</v>
      </c>
      <c r="E35" s="196">
        <f>IF(AND(C7&lt;=300,C7&gt;200),C35,0)</f>
        <v>0</v>
      </c>
      <c r="F35" t="b">
        <f t="shared" si="1"/>
        <v>0</v>
      </c>
    </row>
    <row r="36" spans="1:6">
      <c r="A36" s="92" t="s">
        <v>739</v>
      </c>
      <c r="B36" s="387">
        <v>6.89</v>
      </c>
      <c r="C36" s="196">
        <f>ROUND(F25*(1+B36),2)</f>
        <v>95.98</v>
      </c>
      <c r="D36" s="196">
        <f>IF(AND(C6&lt;=400,C6&gt;300),C36,0)</f>
        <v>0</v>
      </c>
      <c r="E36" s="196">
        <f>IF(AND(C7&lt;=400,C7&gt;300),C36,0)</f>
        <v>0</v>
      </c>
      <c r="F36" t="b">
        <f t="shared" si="1"/>
        <v>0</v>
      </c>
    </row>
    <row r="37" spans="1:6">
      <c r="A37" s="92" t="s">
        <v>740</v>
      </c>
      <c r="B37" s="388">
        <v>6.5</v>
      </c>
      <c r="C37" s="196">
        <f>ROUND(F25*(1+B37),2)</f>
        <v>91.24</v>
      </c>
      <c r="D37" s="196">
        <f>IF(AND(C6&lt;=500,C6&gt;400),C37,0)</f>
        <v>91.24</v>
      </c>
      <c r="E37" s="196">
        <f>IF(AND(C7&lt;=500,C7&gt;400),C37,0)</f>
        <v>0</v>
      </c>
      <c r="F37" t="b">
        <f>IF(AND(D37&gt;0,E37&gt;0),D37)</f>
        <v>0</v>
      </c>
    </row>
    <row r="38" spans="1:6">
      <c r="A38" s="92" t="s">
        <v>741</v>
      </c>
      <c r="B38" s="389">
        <v>6.19</v>
      </c>
      <c r="C38" s="196">
        <f>ROUND(F25*(1+B38),2)</f>
        <v>87.46</v>
      </c>
      <c r="D38" s="196">
        <f>IF(AND(C6&lt;=600,C6&gt;500),C38,0)</f>
        <v>0</v>
      </c>
      <c r="E38" s="196">
        <f>IF(AND(C7&lt;=600,C7&gt;500),C38,0)</f>
        <v>0</v>
      </c>
      <c r="F38" t="b">
        <f t="shared" ref="F38:F48" si="2">IF(AND(D38&gt;0,E38&gt;0),D38)</f>
        <v>0</v>
      </c>
    </row>
    <row r="39" spans="1:6">
      <c r="A39" s="92" t="s">
        <v>742</v>
      </c>
      <c r="B39" s="390">
        <v>5.96</v>
      </c>
      <c r="C39" s="196">
        <f>ROUND(F25*(1+B39),2)</f>
        <v>84.67</v>
      </c>
      <c r="D39" s="196">
        <f>IF(AND(C6&lt;=700,C6&gt;600),C39,0)</f>
        <v>0</v>
      </c>
      <c r="E39" s="196">
        <f>IF(AND(C7&lt;=700,C7&gt;600),C39,0)</f>
        <v>0</v>
      </c>
      <c r="F39" t="b">
        <f t="shared" si="2"/>
        <v>0</v>
      </c>
    </row>
    <row r="40" spans="1:6">
      <c r="A40" s="92" t="s">
        <v>743</v>
      </c>
      <c r="B40" s="391">
        <v>5.78</v>
      </c>
      <c r="C40" s="196">
        <f>ROUND(F25*(1+B40),2)</f>
        <v>82.48</v>
      </c>
      <c r="D40" s="196">
        <f>IF(AND(C6&lt;=800,C6&gt;700),C40,0)</f>
        <v>0</v>
      </c>
      <c r="E40" s="196">
        <f>IF(AND(C7&lt;=800,C7&gt;700),C40,0)</f>
        <v>0</v>
      </c>
      <c r="F40" t="b">
        <f t="shared" si="2"/>
        <v>0</v>
      </c>
    </row>
    <row r="41" spans="1:6">
      <c r="A41" s="92" t="s">
        <v>744</v>
      </c>
      <c r="B41" s="392">
        <v>5.66</v>
      </c>
      <c r="C41" s="196">
        <f>ROUND(F25*(1+B41),2)</f>
        <v>81.02</v>
      </c>
      <c r="D41" s="196">
        <f>IF(AND(C6&lt;=900,C6&gt;800),C41,0)</f>
        <v>0</v>
      </c>
      <c r="E41" s="196">
        <f>IF(AND(C7&lt;=900,C7&gt;800),C41,0)</f>
        <v>0</v>
      </c>
      <c r="F41" t="b">
        <f t="shared" si="2"/>
        <v>0</v>
      </c>
    </row>
    <row r="42" spans="1:6">
      <c r="A42" s="92" t="s">
        <v>745</v>
      </c>
      <c r="B42" s="393">
        <v>5.77</v>
      </c>
      <c r="C42" s="196">
        <f>ROUND(F25*(1+B42),2)</f>
        <v>82.36</v>
      </c>
      <c r="D42" s="196">
        <f>IF(AND(C6&lt;=1000,C6&gt;900),C42,0)</f>
        <v>0</v>
      </c>
      <c r="E42" s="196">
        <f>IF(AND(C7&lt;=1000,C7&gt;900),C42,0)</f>
        <v>0</v>
      </c>
      <c r="F42" t="b">
        <f t="shared" si="2"/>
        <v>0</v>
      </c>
    </row>
    <row r="43" spans="1:6">
      <c r="A43" s="92" t="s">
        <v>746</v>
      </c>
      <c r="B43" s="394">
        <v>3.8</v>
      </c>
      <c r="C43" s="196">
        <f>ROUND(F25*(1+B43),2)</f>
        <v>58.39</v>
      </c>
      <c r="D43" s="196">
        <f>IF(AND(C6&lt;=1200,C6&gt;1000),C43,0)</f>
        <v>0</v>
      </c>
      <c r="E43" s="196">
        <f>IF(AND(C7&lt;=1200,C7&gt;1000),C43,0)</f>
        <v>0</v>
      </c>
      <c r="F43" t="b">
        <f t="shared" si="2"/>
        <v>0</v>
      </c>
    </row>
    <row r="44" spans="1:6">
      <c r="A44" s="92" t="s">
        <v>747</v>
      </c>
      <c r="B44" s="395">
        <v>3.73</v>
      </c>
      <c r="C44" s="196">
        <f>ROUND(F25*(1+B44),2)</f>
        <v>57.54</v>
      </c>
      <c r="D44" s="196">
        <f>IF(AND(C6&lt;=1400,C6&gt;1200),C44,0)</f>
        <v>0</v>
      </c>
      <c r="E44" s="196">
        <f>IF(AND(C7&lt;=1400,C7&gt;1200),C44,0)</f>
        <v>0</v>
      </c>
      <c r="F44" t="b">
        <f t="shared" si="2"/>
        <v>0</v>
      </c>
    </row>
    <row r="45" spans="1:6">
      <c r="A45" s="92" t="s">
        <v>748</v>
      </c>
      <c r="B45" s="396">
        <v>3.69</v>
      </c>
      <c r="C45" s="196">
        <f>ROUND(F25*(1+B45),2)</f>
        <v>57.05</v>
      </c>
      <c r="D45" s="196">
        <f>IF(AND(C6&lt;=1600,C6&gt;1400),C45,0)</f>
        <v>0</v>
      </c>
      <c r="E45" s="196">
        <f>IF(AND(C7&lt;=1600,C7&gt;1400),C45,0)</f>
        <v>0</v>
      </c>
      <c r="F45" t="b">
        <f t="shared" si="2"/>
        <v>0</v>
      </c>
    </row>
    <row r="46" spans="1:6">
      <c r="A46" s="92" t="s">
        <v>749</v>
      </c>
      <c r="B46" s="397">
        <v>3.65</v>
      </c>
      <c r="C46" s="196">
        <f>ROUND(F25*(1+B46),2)</f>
        <v>56.57</v>
      </c>
      <c r="D46" s="196">
        <f>IF(AND(C6&lt;=1800,C6&gt;1600),C46,0)</f>
        <v>0</v>
      </c>
      <c r="E46" s="196">
        <f>IF(AND(C7&lt;=1800,C7&gt;1600),C46,0)</f>
        <v>0</v>
      </c>
      <c r="F46" t="b">
        <f t="shared" si="2"/>
        <v>0</v>
      </c>
    </row>
    <row r="47" spans="1:6">
      <c r="A47" s="92" t="s">
        <v>750</v>
      </c>
      <c r="B47" s="398">
        <v>3.64</v>
      </c>
      <c r="C47" s="196">
        <f>ROUND(F25*(1+B47),2)</f>
        <v>56.44</v>
      </c>
      <c r="D47" s="196">
        <f>IF(AND(C6&lt;=1999,C6&gt;1800),C47,0)</f>
        <v>0</v>
      </c>
      <c r="E47" s="196">
        <f>IF(AND(C7&lt;=1999,C7&gt;1800),C47,0)</f>
        <v>0</v>
      </c>
      <c r="F47" t="b">
        <f t="shared" si="2"/>
        <v>0</v>
      </c>
    </row>
    <row r="48" spans="1:6">
      <c r="A48" s="92" t="s">
        <v>751</v>
      </c>
      <c r="B48" s="398">
        <v>4.43</v>
      </c>
      <c r="C48" s="196">
        <f>ROUND(F25*(1+B48),2)</f>
        <v>66.05</v>
      </c>
      <c r="D48" s="196">
        <f>IF(C6&gt;=2000,C48,0)</f>
        <v>0</v>
      </c>
      <c r="E48" s="196">
        <f>IF(C7&gt;=2000,C48,0)</f>
        <v>0</v>
      </c>
      <c r="F48" t="b">
        <f t="shared" si="2"/>
        <v>0</v>
      </c>
    </row>
    <row r="49" spans="3:8">
      <c r="D49" s="363">
        <f>SUM(D34:D48)</f>
        <v>91.24</v>
      </c>
      <c r="E49" s="363">
        <f>SUM(E34:E48)</f>
        <v>117.39</v>
      </c>
      <c r="F49" s="363">
        <f>SUM(F34:F48)</f>
        <v>0</v>
      </c>
    </row>
    <row r="50" spans="3:8">
      <c r="F50" s="195"/>
    </row>
    <row r="51" spans="3:8">
      <c r="C51" t="s">
        <v>641</v>
      </c>
      <c r="D51" s="195">
        <f>D49</f>
        <v>91.24</v>
      </c>
      <c r="E51" s="195">
        <f>F49</f>
        <v>0</v>
      </c>
      <c r="F51" s="195">
        <f>AVERAGE(D49,E51)</f>
        <v>45.62</v>
      </c>
      <c r="H51" s="195"/>
    </row>
    <row r="52" spans="3:8">
      <c r="C52" t="s">
        <v>642</v>
      </c>
      <c r="D52" s="195">
        <f>D49</f>
        <v>91.24</v>
      </c>
      <c r="E52" s="195">
        <f>IF(AND(C7&lt;=200,C6&lt;=500),E49*(1-8%),IF(AND(C7&lt;=200,C6&lt;=1000),E49*(1-14%),IF(AND(C7&lt;=500,C6&lt;=500),E49*(1-1%),IF(AND(C7&lt;=1000,C6&lt;=1000),E49*(1-1%)))))</f>
        <v>107.9988</v>
      </c>
      <c r="F52" s="195">
        <f>AVERAGE(D52,E52)</f>
        <v>99.619399999999999</v>
      </c>
    </row>
    <row r="54" spans="3:8">
      <c r="D54" s="73"/>
      <c r="E54" s="196"/>
    </row>
    <row r="55" spans="3:8">
      <c r="D55" s="73"/>
      <c r="E55" s="295"/>
    </row>
  </sheetData>
  <conditionalFormatting sqref="B34:B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L38"/>
  <sheetViews>
    <sheetView workbookViewId="0">
      <selection activeCell="L33" sqref="L33"/>
    </sheetView>
  </sheetViews>
  <sheetFormatPr defaultRowHeight="14.4"/>
  <cols>
    <col min="1" max="1" width="29.6640625" customWidth="1"/>
    <col min="2" max="2" width="28" customWidth="1"/>
    <col min="3" max="3" width="9.33203125" customWidth="1"/>
    <col min="5" max="5" width="9.6640625" customWidth="1"/>
    <col min="6" max="6" width="9.88671875" customWidth="1"/>
    <col min="8" max="8" width="36" customWidth="1"/>
    <col min="9" max="9" width="30.33203125" customWidth="1"/>
    <col min="10" max="10" width="11.109375" customWidth="1"/>
    <col min="12" max="12" width="10.5546875" customWidth="1"/>
  </cols>
  <sheetData>
    <row r="3" spans="2:11">
      <c r="B3" s="73" t="s">
        <v>179</v>
      </c>
      <c r="I3" s="73" t="s">
        <v>547</v>
      </c>
    </row>
    <row r="5" spans="2:11">
      <c r="B5" t="s">
        <v>180</v>
      </c>
      <c r="C5">
        <f>'Cennik Produkcja '!D326</f>
        <v>795</v>
      </c>
      <c r="I5" t="s">
        <v>180</v>
      </c>
      <c r="J5">
        <f>'Cennik Produkcja '!D333</f>
        <v>395</v>
      </c>
    </row>
    <row r="6" spans="2:11">
      <c r="B6" t="s">
        <v>181</v>
      </c>
      <c r="C6">
        <f>'Cennik Produkcja '!E326</f>
        <v>195</v>
      </c>
      <c r="I6" t="s">
        <v>181</v>
      </c>
      <c r="J6">
        <f>'Cennik Produkcja '!E333</f>
        <v>770</v>
      </c>
    </row>
    <row r="7" spans="2:11">
      <c r="B7" t="s">
        <v>89</v>
      </c>
      <c r="C7">
        <f>'Cennik Produkcja '!D328</f>
        <v>50</v>
      </c>
      <c r="I7" t="s">
        <v>89</v>
      </c>
      <c r="J7">
        <f>'Cennik Produkcja '!D335</f>
        <v>145</v>
      </c>
    </row>
    <row r="8" spans="2:11">
      <c r="I8" t="s">
        <v>548</v>
      </c>
      <c r="J8" s="92" t="str">
        <f>'Cennik Produkcja '!E335</f>
        <v>W</v>
      </c>
    </row>
    <row r="10" spans="2:11">
      <c r="B10" t="s">
        <v>137</v>
      </c>
      <c r="C10" s="70">
        <f>(C5*C6)/1000000</f>
        <v>0.155025</v>
      </c>
      <c r="D10" t="s">
        <v>19</v>
      </c>
      <c r="J10" s="70"/>
    </row>
    <row r="12" spans="2:11">
      <c r="B12" t="s">
        <v>182</v>
      </c>
      <c r="C12" s="70">
        <f>((IF(C7=100, (ROUNDUP(C5/140, 0) * (2*90)), IF(C7=50, (ROUNDUP(C5/80, 0) * (2*40)), C5+40)) * (C6+40)) / 1000000)</f>
        <v>0.188</v>
      </c>
      <c r="D12" t="s">
        <v>19</v>
      </c>
      <c r="I12" t="s">
        <v>182</v>
      </c>
      <c r="J12" s="70">
        <f>IF(J8="P", ((J5+40)*(J6+40))/1000000, IF(J8="W", (((4*SQRT(POWER(J7,2)+POWER(J5/4,2)))+40)*(J6+40))/1000000, "Błąd"))</f>
        <v>0.60080130409772992</v>
      </c>
      <c r="K12" t="s">
        <v>19</v>
      </c>
    </row>
    <row r="13" spans="2:11">
      <c r="B13" t="s">
        <v>34</v>
      </c>
      <c r="C13" s="70">
        <f>((IF(C7=100, (ROUNDUP(C5/140, 0) * (2*92)), IF(C7=50, (ROUNDUP(C5/80, 0) * (2*42)), C5+40)) * C6) / 1000000)</f>
        <v>0.1638</v>
      </c>
      <c r="D13" t="s">
        <v>19</v>
      </c>
      <c r="I13" t="s">
        <v>34</v>
      </c>
      <c r="J13" s="70">
        <f>IF(J8="P", (J5*J6)/1000000, IF(J8="W", ((4*SQRT(POWER(J7,2)+POWER(J5/4,2)))*J6)/1000000, "Błąd"))</f>
        <v>0.54033210389537289</v>
      </c>
      <c r="K13" t="s">
        <v>19</v>
      </c>
    </row>
    <row r="14" spans="2:11">
      <c r="B14" t="s">
        <v>183</v>
      </c>
      <c r="C14" s="70">
        <f>(((C7+50)*(C6+C6+C5+C5))/1000000)*1.1</f>
        <v>0.21780000000000002</v>
      </c>
      <c r="J14" s="70"/>
    </row>
    <row r="16" spans="2:11">
      <c r="D16" s="5" t="s">
        <v>184</v>
      </c>
      <c r="E16" s="92"/>
      <c r="K16" t="s">
        <v>184</v>
      </c>
    </row>
    <row r="17" spans="1:12">
      <c r="D17">
        <v>40</v>
      </c>
      <c r="E17" s="70">
        <f>1/40*C12</f>
        <v>4.7000000000000002E-3</v>
      </c>
      <c r="K17">
        <v>40</v>
      </c>
      <c r="L17" s="70">
        <f>1/40*J12</f>
        <v>1.5020032602443249E-2</v>
      </c>
    </row>
    <row r="18" spans="1:12">
      <c r="D18">
        <v>20</v>
      </c>
      <c r="E18" s="70">
        <f>1/20*C10</f>
        <v>7.7512500000000003E-3</v>
      </c>
      <c r="K18">
        <v>20</v>
      </c>
      <c r="L18" s="70">
        <f>1/20*J10</f>
        <v>0</v>
      </c>
    </row>
    <row r="20" spans="1:12">
      <c r="B20" t="s">
        <v>62</v>
      </c>
      <c r="C20">
        <v>0.6</v>
      </c>
    </row>
    <row r="21" spans="1:12">
      <c r="B21" t="s">
        <v>53</v>
      </c>
      <c r="C21">
        <v>8</v>
      </c>
    </row>
    <row r="23" spans="1:12">
      <c r="B23" s="83" t="s">
        <v>115</v>
      </c>
      <c r="C23" s="85">
        <f>C21*C20*C14</f>
        <v>1.0454400000000001</v>
      </c>
      <c r="D23" t="s">
        <v>17</v>
      </c>
      <c r="I23" s="83"/>
      <c r="J23" s="85"/>
    </row>
    <row r="24" spans="1:12">
      <c r="B24" t="s">
        <v>116</v>
      </c>
      <c r="C24" s="70">
        <f>C23/1000</f>
        <v>1.0454400000000001E-3</v>
      </c>
      <c r="J24" s="70"/>
    </row>
    <row r="25" spans="1:12">
      <c r="C25" s="70"/>
      <c r="J25" s="70"/>
    </row>
    <row r="27" spans="1:12">
      <c r="A27" s="54" t="s">
        <v>100</v>
      </c>
      <c r="B27" s="13" t="s">
        <v>4</v>
      </c>
      <c r="C27" s="73" t="s">
        <v>5</v>
      </c>
      <c r="D27" s="73" t="s">
        <v>316</v>
      </c>
      <c r="E27" s="73" t="s">
        <v>7</v>
      </c>
      <c r="H27" s="54" t="s">
        <v>100</v>
      </c>
      <c r="I27" s="13" t="s">
        <v>4</v>
      </c>
      <c r="J27" s="73" t="s">
        <v>5</v>
      </c>
      <c r="K27" s="73" t="s">
        <v>316</v>
      </c>
      <c r="L27" s="73" t="s">
        <v>7</v>
      </c>
    </row>
    <row r="28" spans="1:12">
      <c r="A28" t="s">
        <v>176</v>
      </c>
      <c r="B28" t="s">
        <v>62</v>
      </c>
      <c r="C28" s="70">
        <f>C23</f>
        <v>1.0454400000000001</v>
      </c>
      <c r="D28" s="196">
        <f>'Ceny składowe'!C6</f>
        <v>4.3</v>
      </c>
      <c r="E28" s="199">
        <f>D28*C28</f>
        <v>4.4953920000000007</v>
      </c>
      <c r="H28" t="s">
        <v>149</v>
      </c>
      <c r="I28" t="s">
        <v>34</v>
      </c>
      <c r="J28" s="70">
        <f>J13</f>
        <v>0.54033210389537289</v>
      </c>
      <c r="K28" s="196">
        <f>'Ceny składowe'!C42</f>
        <v>17.2</v>
      </c>
      <c r="L28" s="199">
        <f t="shared" ref="L28:L29" si="0">K28*J28</f>
        <v>9.2937121870004127</v>
      </c>
    </row>
    <row r="29" spans="1:12">
      <c r="A29" t="s">
        <v>149</v>
      </c>
      <c r="B29" t="s">
        <v>34</v>
      </c>
      <c r="C29" s="70">
        <f>C13</f>
        <v>0.1638</v>
      </c>
      <c r="D29" s="196">
        <f>'Ceny składowe'!C42</f>
        <v>17.2</v>
      </c>
      <c r="E29" s="199">
        <f t="shared" ref="E29" si="1">D29*C29</f>
        <v>2.8173599999999999</v>
      </c>
      <c r="H29" t="s">
        <v>185</v>
      </c>
      <c r="I29" t="s">
        <v>182</v>
      </c>
      <c r="J29" s="70">
        <f>J12</f>
        <v>0.60080130409772992</v>
      </c>
      <c r="K29" s="196">
        <f>'Ceny składowe'!C43</f>
        <v>5.79</v>
      </c>
      <c r="L29" s="199">
        <f t="shared" si="0"/>
        <v>3.4786395507258563</v>
      </c>
    </row>
    <row r="30" spans="1:12">
      <c r="A30" t="s">
        <v>185</v>
      </c>
      <c r="B30" t="s">
        <v>182</v>
      </c>
      <c r="C30" s="70">
        <f>C12</f>
        <v>0.188</v>
      </c>
      <c r="D30" s="196">
        <f>'Ceny składowe'!C43</f>
        <v>5.79</v>
      </c>
      <c r="E30" s="199">
        <f>C30*D30</f>
        <v>1.0885199999999999</v>
      </c>
      <c r="L30" s="4"/>
    </row>
    <row r="31" spans="1:12">
      <c r="E31" s="4"/>
      <c r="K31" s="57" t="s">
        <v>265</v>
      </c>
      <c r="L31" s="199">
        <f>SUM(L28:L30)</f>
        <v>12.772351737726268</v>
      </c>
    </row>
    <row r="32" spans="1:12">
      <c r="D32" s="57" t="s">
        <v>265</v>
      </c>
      <c r="E32" s="199">
        <f>SUM(E28:E31)</f>
        <v>8.4012720000000005</v>
      </c>
      <c r="K32" s="144"/>
      <c r="L32" s="4"/>
    </row>
    <row r="33" spans="1:12">
      <c r="D33" s="144"/>
      <c r="E33" s="4"/>
      <c r="K33" s="129" t="s">
        <v>293</v>
      </c>
      <c r="L33" s="199">
        <f>L38 * (1 +80%)</f>
        <v>41.890233127907287</v>
      </c>
    </row>
    <row r="34" spans="1:12">
      <c r="D34" s="129" t="s">
        <v>293</v>
      </c>
      <c r="E34" s="199">
        <f>E38 * (1 + (
    IF(C5&lt;=300, 120%, IF(C5&lt;=400, 110%, IF(C5&lt;=500, 100%, 90%)))
    +
    IF(C6&lt;=300, 120%, IF(C6&lt;=400, 110%, IF(C6&lt;=500, 100%, 90%)))
) / 2)</f>
        <v>49.381289443749992</v>
      </c>
      <c r="F34" s="534"/>
      <c r="K34" s="143" t="s">
        <v>294</v>
      </c>
      <c r="L34" s="120">
        <f>(L33-L31)/L31</f>
        <v>2.2797588093486518</v>
      </c>
    </row>
    <row r="35" spans="1:12">
      <c r="D35" s="143"/>
      <c r="E35" s="120"/>
    </row>
    <row r="37" spans="1:12">
      <c r="A37" s="236" t="s">
        <v>411</v>
      </c>
      <c r="B37" s="251">
        <f>16.67 + ((C5*C6)/360000)*13.33</f>
        <v>22.410231250000002</v>
      </c>
      <c r="C37" s="237" t="s">
        <v>412</v>
      </c>
      <c r="D37" s="239">
        <f>'Ceny składowe'!C94</f>
        <v>0.7</v>
      </c>
      <c r="E37" s="238">
        <f>B37*D37</f>
        <v>15.687161875000001</v>
      </c>
      <c r="H37" s="236" t="s">
        <v>411</v>
      </c>
      <c r="I37" s="251">
        <f>IF(J8="P",10,IF(J8="W",15))</f>
        <v>15</v>
      </c>
      <c r="J37" s="237" t="s">
        <v>412</v>
      </c>
      <c r="K37" s="239">
        <f>'Ceny składowe'!C94</f>
        <v>0.7</v>
      </c>
      <c r="L37" s="238">
        <f>I37*K37</f>
        <v>10.5</v>
      </c>
    </row>
    <row r="38" spans="1:12">
      <c r="A38" s="159"/>
      <c r="B38" s="74"/>
      <c r="C38" s="237" t="s">
        <v>418</v>
      </c>
      <c r="D38" s="237" t="s">
        <v>419</v>
      </c>
      <c r="E38" s="240">
        <f>E32+E37</f>
        <v>24.088433875</v>
      </c>
      <c r="H38" s="159"/>
      <c r="I38" s="74"/>
      <c r="J38" s="237" t="s">
        <v>418</v>
      </c>
      <c r="K38" s="237" t="s">
        <v>419</v>
      </c>
      <c r="L38" s="240">
        <f>L31+L37</f>
        <v>23.272351737726268</v>
      </c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4:AA89"/>
  <sheetViews>
    <sheetView workbookViewId="0">
      <selection activeCell="A4" sqref="A4"/>
    </sheetView>
  </sheetViews>
  <sheetFormatPr defaultRowHeight="14.4"/>
  <cols>
    <col min="1" max="1" width="27.5546875" customWidth="1"/>
    <col min="2" max="2" width="16.33203125" customWidth="1"/>
    <col min="5" max="5" width="11.6640625" customWidth="1"/>
    <col min="6" max="6" width="9.88671875" bestFit="1" customWidth="1"/>
    <col min="8" max="8" width="36.33203125" customWidth="1"/>
    <col min="9" max="9" width="22.88671875" customWidth="1"/>
    <col min="10" max="10" width="8" customWidth="1"/>
    <col min="11" max="11" width="7.88671875" customWidth="1"/>
    <col min="12" max="12" width="15.88671875" customWidth="1"/>
    <col min="15" max="15" width="39.44140625" customWidth="1"/>
    <col min="16" max="16" width="25.6640625" customWidth="1"/>
    <col min="17" max="17" width="9.5546875" bestFit="1" customWidth="1"/>
    <col min="19" max="19" width="10.109375" customWidth="1"/>
    <col min="20" max="20" width="9.5546875" bestFit="1" customWidth="1"/>
    <col min="22" max="22" width="37.5546875" customWidth="1"/>
    <col min="23" max="23" width="25.77734375" customWidth="1"/>
    <col min="26" max="26" width="13.33203125" customWidth="1"/>
    <col min="27" max="27" width="9.88671875" bestFit="1" customWidth="1"/>
  </cols>
  <sheetData>
    <row r="4" spans="1:23">
      <c r="A4" t="s">
        <v>214</v>
      </c>
      <c r="B4" t="s">
        <v>209</v>
      </c>
      <c r="H4" t="s">
        <v>222</v>
      </c>
      <c r="I4" t="s">
        <v>332</v>
      </c>
      <c r="O4" t="s">
        <v>225</v>
      </c>
      <c r="P4" t="s">
        <v>223</v>
      </c>
      <c r="V4" t="s">
        <v>226</v>
      </c>
      <c r="W4" t="s">
        <v>224</v>
      </c>
    </row>
    <row r="6" spans="1:23">
      <c r="A6" t="s">
        <v>186</v>
      </c>
      <c r="B6">
        <f>B9+200</f>
        <v>400</v>
      </c>
      <c r="H6" t="s">
        <v>212</v>
      </c>
      <c r="I6">
        <f>I9+200</f>
        <v>890</v>
      </c>
      <c r="O6" t="s">
        <v>212</v>
      </c>
      <c r="P6">
        <f>P9+200</f>
        <v>600</v>
      </c>
      <c r="V6" t="s">
        <v>212</v>
      </c>
      <c r="W6">
        <f>W9+200</f>
        <v>1300</v>
      </c>
    </row>
    <row r="7" spans="1:23">
      <c r="A7" t="s">
        <v>187</v>
      </c>
      <c r="B7">
        <f>B10+200</f>
        <v>400</v>
      </c>
      <c r="H7" t="s">
        <v>213</v>
      </c>
      <c r="I7">
        <f>I10+200</f>
        <v>890</v>
      </c>
      <c r="O7" t="s">
        <v>213</v>
      </c>
      <c r="P7">
        <f>P10+200</f>
        <v>600</v>
      </c>
      <c r="V7" t="s">
        <v>213</v>
      </c>
      <c r="W7">
        <f>W10+200</f>
        <v>600</v>
      </c>
    </row>
    <row r="8" spans="1:23">
      <c r="A8" t="s">
        <v>89</v>
      </c>
      <c r="B8">
        <f>'Cennik Produkcja '!D82</f>
        <v>600</v>
      </c>
      <c r="H8" t="s">
        <v>89</v>
      </c>
      <c r="I8">
        <f>'Cennik Produkcja '!D96</f>
        <v>898</v>
      </c>
      <c r="O8" t="s">
        <v>89</v>
      </c>
      <c r="P8">
        <f>'Cennik Produkcja '!D103</f>
        <v>750</v>
      </c>
      <c r="V8" t="s">
        <v>89</v>
      </c>
      <c r="W8">
        <f>'Cennik Produkcja '!D110</f>
        <v>600</v>
      </c>
    </row>
    <row r="9" spans="1:23">
      <c r="A9" t="s">
        <v>188</v>
      </c>
      <c r="B9">
        <f>'Cennik Produkcja '!D80</f>
        <v>200</v>
      </c>
      <c r="H9" t="s">
        <v>210</v>
      </c>
      <c r="I9">
        <f>'Cennik Produkcja '!D94</f>
        <v>690</v>
      </c>
      <c r="O9" t="s">
        <v>210</v>
      </c>
      <c r="P9">
        <f>'Cennik Produkcja '!D101</f>
        <v>400</v>
      </c>
      <c r="V9" t="s">
        <v>210</v>
      </c>
      <c r="W9">
        <f>'Cennik Produkcja '!D108</f>
        <v>1100</v>
      </c>
    </row>
    <row r="10" spans="1:23">
      <c r="A10" t="s">
        <v>189</v>
      </c>
      <c r="B10">
        <f>'Cennik Produkcja '!E80</f>
        <v>200</v>
      </c>
      <c r="H10" t="s">
        <v>211</v>
      </c>
      <c r="I10">
        <f>'Cennik Produkcja '!E94</f>
        <v>690</v>
      </c>
      <c r="O10" t="s">
        <v>211</v>
      </c>
      <c r="P10">
        <f>'Cennik Produkcja '!E101</f>
        <v>400</v>
      </c>
      <c r="V10" t="s">
        <v>211</v>
      </c>
      <c r="W10">
        <f>'Cennik Produkcja '!E108</f>
        <v>400</v>
      </c>
    </row>
    <row r="11" spans="1:23">
      <c r="A11" t="s">
        <v>190</v>
      </c>
      <c r="B11">
        <f>B9-100</f>
        <v>100</v>
      </c>
      <c r="H11" t="s">
        <v>190</v>
      </c>
      <c r="I11">
        <f>I9-50</f>
        <v>640</v>
      </c>
      <c r="O11" t="s">
        <v>190</v>
      </c>
      <c r="P11">
        <f>P9-100</f>
        <v>300</v>
      </c>
      <c r="V11" t="s">
        <v>190</v>
      </c>
      <c r="W11">
        <f>W9-100</f>
        <v>1000</v>
      </c>
    </row>
    <row r="12" spans="1:23">
      <c r="A12" t="s">
        <v>191</v>
      </c>
      <c r="B12">
        <f>B10-100</f>
        <v>100</v>
      </c>
      <c r="H12" t="s">
        <v>191</v>
      </c>
      <c r="I12">
        <f>I10-50</f>
        <v>640</v>
      </c>
      <c r="O12" t="s">
        <v>191</v>
      </c>
      <c r="P12">
        <f>P10-100</f>
        <v>300</v>
      </c>
      <c r="V12" t="s">
        <v>191</v>
      </c>
      <c r="W12">
        <f>W10-100</f>
        <v>300</v>
      </c>
    </row>
    <row r="15" spans="1:23">
      <c r="A15" t="s">
        <v>192</v>
      </c>
      <c r="B15">
        <f>(B9+B10+B9+B10)/1000</f>
        <v>0.8</v>
      </c>
      <c r="H15" t="s">
        <v>192</v>
      </c>
      <c r="I15">
        <f>(I9+I10+I9+I10)/1000</f>
        <v>2.76</v>
      </c>
      <c r="O15" t="s">
        <v>192</v>
      </c>
      <c r="P15">
        <f>(P9+P10+P9+P10)/1000</f>
        <v>1.6</v>
      </c>
      <c r="V15" t="s">
        <v>192</v>
      </c>
      <c r="W15">
        <f>(W9+W10+W9+W10)/1000</f>
        <v>3</v>
      </c>
    </row>
    <row r="16" spans="1:23">
      <c r="A16" t="s">
        <v>193</v>
      </c>
      <c r="B16" s="70">
        <f>(((B9*B10)-(B11*B12))/1000000)*1.1</f>
        <v>3.3000000000000002E-2</v>
      </c>
      <c r="H16" t="s">
        <v>193</v>
      </c>
      <c r="I16" s="70">
        <f>(((I9*I10)-(I11*I12))/1000000)*1.1</f>
        <v>7.3150000000000007E-2</v>
      </c>
      <c r="O16" t="s">
        <v>193</v>
      </c>
      <c r="P16" s="70">
        <f>(((P9*P10)-(P11*P12))/1000000)*1.1</f>
        <v>7.7000000000000013E-2</v>
      </c>
      <c r="V16" t="s">
        <v>193</v>
      </c>
      <c r="W16" s="70">
        <f>(((W9*W10)-(W11*W12))/1000000)*1.1</f>
        <v>0.15400000000000003</v>
      </c>
    </row>
    <row r="17" spans="1:27">
      <c r="A17" t="s">
        <v>194</v>
      </c>
      <c r="B17" s="70">
        <f>(((B6*B7)-(B9*B10))/1000000)*1.1</f>
        <v>0.13200000000000001</v>
      </c>
      <c r="H17" t="s">
        <v>194</v>
      </c>
      <c r="I17" s="70">
        <f>(((I6*I7)-(I9*I10))/1000000)*1.1</f>
        <v>0.34760000000000002</v>
      </c>
      <c r="O17" t="s">
        <v>194</v>
      </c>
      <c r="P17" s="70">
        <f>(((P6*P7)-(P9*P10))/1000000)*1.1</f>
        <v>0.22000000000000003</v>
      </c>
      <c r="V17" t="s">
        <v>194</v>
      </c>
      <c r="W17" s="70">
        <f>(((W6*W7)-(W9*W10))/1000000)*1.1</f>
        <v>0.37400000000000005</v>
      </c>
    </row>
    <row r="18" spans="1:27">
      <c r="A18" t="s">
        <v>195</v>
      </c>
      <c r="B18" s="70">
        <f>((((B9*B8)*2)+((B10*B8)*2))/1000000)*1.1</f>
        <v>0.52800000000000002</v>
      </c>
      <c r="C18" t="s">
        <v>196</v>
      </c>
      <c r="H18" t="s">
        <v>195</v>
      </c>
      <c r="I18" s="70">
        <f>((((I9*I8)*2)+((I10*I8)*2))/1000000)*1.1</f>
        <v>2.7263280000000001</v>
      </c>
      <c r="J18" t="s">
        <v>196</v>
      </c>
      <c r="O18" t="s">
        <v>195</v>
      </c>
      <c r="P18" s="70">
        <f>((((P9*P8)*2)+((P10*P8)*2))/1000000)*1.1</f>
        <v>1.32</v>
      </c>
      <c r="Q18" t="s">
        <v>196</v>
      </c>
      <c r="V18" t="s">
        <v>195</v>
      </c>
      <c r="W18" s="70">
        <f>((((W9*W8)*2)+((W10*W8)*2))/1000000)</f>
        <v>1.8</v>
      </c>
      <c r="X18" t="s">
        <v>196</v>
      </c>
    </row>
    <row r="19" spans="1:27">
      <c r="A19" t="s">
        <v>124</v>
      </c>
      <c r="B19" s="70">
        <f>B16+B17+B18</f>
        <v>0.69300000000000006</v>
      </c>
      <c r="H19" t="s">
        <v>124</v>
      </c>
      <c r="I19" s="70">
        <f>I16+I17+I18</f>
        <v>3.147078</v>
      </c>
      <c r="O19" t="s">
        <v>124</v>
      </c>
      <c r="P19" s="70">
        <f>P16+P17+P18</f>
        <v>1.617</v>
      </c>
      <c r="V19" t="s">
        <v>124</v>
      </c>
      <c r="W19" s="70">
        <f>W16+W17+W18</f>
        <v>2.3280000000000003</v>
      </c>
    </row>
    <row r="21" spans="1:27">
      <c r="A21" t="s">
        <v>52</v>
      </c>
      <c r="B21">
        <v>0.8</v>
      </c>
      <c r="H21" t="s">
        <v>52</v>
      </c>
      <c r="I21">
        <v>0.8</v>
      </c>
      <c r="O21" t="s">
        <v>52</v>
      </c>
      <c r="P21">
        <v>0.8</v>
      </c>
      <c r="V21" t="s">
        <v>52</v>
      </c>
      <c r="W21">
        <v>0.8</v>
      </c>
    </row>
    <row r="22" spans="1:27">
      <c r="A22" t="s">
        <v>53</v>
      </c>
      <c r="B22">
        <v>8</v>
      </c>
      <c r="H22" t="s">
        <v>53</v>
      </c>
      <c r="I22">
        <v>8</v>
      </c>
      <c r="O22" t="s">
        <v>53</v>
      </c>
      <c r="P22">
        <v>8</v>
      </c>
      <c r="V22" t="s">
        <v>53</v>
      </c>
      <c r="W22">
        <v>8</v>
      </c>
    </row>
    <row r="24" spans="1:27">
      <c r="A24" t="s">
        <v>197</v>
      </c>
      <c r="B24" s="70">
        <f>B22*B21*B19</f>
        <v>4.4352000000000009</v>
      </c>
      <c r="H24" t="s">
        <v>197</v>
      </c>
      <c r="I24" s="70">
        <f>I22*I21*I19</f>
        <v>20.141299200000002</v>
      </c>
      <c r="O24" t="s">
        <v>197</v>
      </c>
      <c r="P24" s="70">
        <f>P22*P21*P19</f>
        <v>10.348800000000001</v>
      </c>
      <c r="V24" t="s">
        <v>197</v>
      </c>
      <c r="W24" s="70">
        <f>W22*W21*W19</f>
        <v>14.899200000000002</v>
      </c>
    </row>
    <row r="25" spans="1:27">
      <c r="A25" t="s">
        <v>198</v>
      </c>
      <c r="B25" s="70">
        <f>B24/1000</f>
        <v>4.4352000000000011E-3</v>
      </c>
      <c r="H25" t="s">
        <v>198</v>
      </c>
      <c r="I25" s="70">
        <f>I24/1000</f>
        <v>2.0141299200000004E-2</v>
      </c>
      <c r="O25" t="s">
        <v>198</v>
      </c>
      <c r="P25" s="70">
        <f>P24/1000</f>
        <v>1.03488E-2</v>
      </c>
      <c r="V25" t="s">
        <v>198</v>
      </c>
      <c r="W25" s="70">
        <f>W24/1000</f>
        <v>1.4899200000000003E-2</v>
      </c>
    </row>
    <row r="28" spans="1:27">
      <c r="A28" s="73" t="s">
        <v>100</v>
      </c>
      <c r="B28" s="3" t="s">
        <v>4</v>
      </c>
      <c r="C28" s="3" t="s">
        <v>5</v>
      </c>
      <c r="D28" s="3"/>
      <c r="E28" s="3" t="s">
        <v>6</v>
      </c>
      <c r="F28" s="3" t="s">
        <v>7</v>
      </c>
      <c r="G28" s="3"/>
      <c r="H28" s="73" t="s">
        <v>100</v>
      </c>
      <c r="I28" s="3" t="s">
        <v>4</v>
      </c>
      <c r="J28" s="3" t="s">
        <v>5</v>
      </c>
      <c r="L28" s="3" t="s">
        <v>6</v>
      </c>
      <c r="M28" s="3" t="s">
        <v>7</v>
      </c>
      <c r="O28" s="73" t="s">
        <v>100</v>
      </c>
      <c r="P28" s="3" t="s">
        <v>4</v>
      </c>
      <c r="Q28" s="3" t="s">
        <v>5</v>
      </c>
      <c r="R28" s="3"/>
      <c r="S28" s="3" t="s">
        <v>6</v>
      </c>
      <c r="T28" s="3" t="s">
        <v>7</v>
      </c>
      <c r="V28" s="73" t="s">
        <v>100</v>
      </c>
      <c r="W28" s="3" t="s">
        <v>4</v>
      </c>
      <c r="X28" s="3" t="s">
        <v>5</v>
      </c>
      <c r="Z28" s="3" t="s">
        <v>6</v>
      </c>
      <c r="AA28" s="3" t="s">
        <v>7</v>
      </c>
    </row>
    <row r="29" spans="1:27">
      <c r="A29" s="5" t="s">
        <v>246</v>
      </c>
      <c r="B29" t="s">
        <v>62</v>
      </c>
      <c r="C29" s="86">
        <f>B24</f>
        <v>4.4352000000000009</v>
      </c>
      <c r="D29" t="s">
        <v>17</v>
      </c>
      <c r="E29" s="196">
        <f>'Ceny składowe'!C7</f>
        <v>4.2</v>
      </c>
      <c r="F29" s="196">
        <f>E29*C29</f>
        <v>18.627840000000006</v>
      </c>
      <c r="H29" t="s">
        <v>246</v>
      </c>
      <c r="I29" t="s">
        <v>62</v>
      </c>
      <c r="J29" s="70">
        <f>I24</f>
        <v>20.141299200000002</v>
      </c>
      <c r="K29" t="s">
        <v>17</v>
      </c>
      <c r="L29" s="199">
        <f>'Ceny składowe'!C7</f>
        <v>4.2</v>
      </c>
      <c r="M29" s="199">
        <f>L29*J29</f>
        <v>84.593456640000014</v>
      </c>
      <c r="O29" s="5" t="s">
        <v>246</v>
      </c>
      <c r="P29" t="s">
        <v>62</v>
      </c>
      <c r="Q29" s="86">
        <f>P24</f>
        <v>10.348800000000001</v>
      </c>
      <c r="R29" t="s">
        <v>17</v>
      </c>
      <c r="S29" s="196">
        <f>'Ceny składowe'!C7</f>
        <v>4.2</v>
      </c>
      <c r="T29" s="196">
        <f>S29*Q29</f>
        <v>43.464960000000005</v>
      </c>
      <c r="V29" s="5" t="s">
        <v>246</v>
      </c>
      <c r="W29" t="s">
        <v>62</v>
      </c>
      <c r="X29" s="86">
        <f>W24</f>
        <v>14.899200000000002</v>
      </c>
      <c r="Y29" t="s">
        <v>17</v>
      </c>
      <c r="Z29" s="196">
        <f>'Ceny składowe'!C6</f>
        <v>4.3</v>
      </c>
      <c r="AA29" s="199">
        <f>Z29*X29</f>
        <v>64.06656000000001</v>
      </c>
    </row>
    <row r="30" spans="1:27">
      <c r="A30" t="s">
        <v>675</v>
      </c>
      <c r="B30" t="s">
        <v>709</v>
      </c>
      <c r="C30">
        <v>0.05</v>
      </c>
      <c r="D30" t="s">
        <v>10</v>
      </c>
      <c r="E30" s="196">
        <f>'Ceny składowe'!C78</f>
        <v>9.1</v>
      </c>
      <c r="F30" s="196">
        <f>E30*C30</f>
        <v>0.45500000000000002</v>
      </c>
      <c r="H30" s="284" t="str">
        <f>VLOOKUP(1,H42:I47,2,FALSE)</f>
        <v>KAUCZUK 19MM</v>
      </c>
      <c r="I30" t="s">
        <v>317</v>
      </c>
      <c r="J30" s="70">
        <f>I18</f>
        <v>2.7263280000000001</v>
      </c>
      <c r="K30" t="s">
        <v>19</v>
      </c>
      <c r="L30" s="294">
        <f>IF(H40=J42,L42,IF(H40=J43,L43,IF(H40=J44,L44,IF(H40=J45,L45,IF(H40=J46,L46)))))</f>
        <v>38.35</v>
      </c>
      <c r="M30" s="199">
        <f>L30*J30</f>
        <v>104.5546788</v>
      </c>
      <c r="O30" s="284" t="str">
        <f>VLOOKUP(1,N35:O36,2,FALSE)</f>
        <v>INDUSTRIAL60</v>
      </c>
      <c r="P30" t="s">
        <v>284</v>
      </c>
      <c r="Q30" s="86">
        <f>P18</f>
        <v>1.32</v>
      </c>
      <c r="R30" t="s">
        <v>19</v>
      </c>
      <c r="S30" s="558">
        <f>IF(N33=P35,Q35,IF(N33=P36,Q36))</f>
        <v>57.17</v>
      </c>
      <c r="T30" s="196">
        <f>S30*Q30</f>
        <v>75.464400000000012</v>
      </c>
      <c r="V30" s="284" t="str">
        <f>VLOOKUP(1,V41:W44,2,FALSE)</f>
        <v>VENTILAM ALU PLUS 50MM</v>
      </c>
      <c r="W30" t="s">
        <v>264</v>
      </c>
      <c r="X30" s="86">
        <f>W18</f>
        <v>1.8</v>
      </c>
      <c r="Y30" t="s">
        <v>19</v>
      </c>
      <c r="Z30" s="294">
        <f>IF(V39=X41,Z41,IF(V39=X42,Z42,IF(V39=X43,Z43,IF(V39=X44,Z44))))</f>
        <v>32.299999999999997</v>
      </c>
      <c r="AA30" s="199">
        <f t="shared" ref="AA30" si="0">Z30*X30</f>
        <v>58.139999999999993</v>
      </c>
    </row>
    <row r="31" spans="1:27">
      <c r="H31" t="s">
        <v>675</v>
      </c>
      <c r="I31" t="s">
        <v>709</v>
      </c>
      <c r="J31">
        <v>0.05</v>
      </c>
      <c r="K31" t="s">
        <v>10</v>
      </c>
      <c r="L31" s="287">
        <f>'Ceny składowe'!C78</f>
        <v>9.1</v>
      </c>
      <c r="M31" s="199">
        <f>L31*J31</f>
        <v>0.45500000000000002</v>
      </c>
      <c r="O31" t="s">
        <v>675</v>
      </c>
      <c r="P31" t="s">
        <v>709</v>
      </c>
      <c r="Q31" s="84">
        <v>0.05</v>
      </c>
      <c r="R31" t="s">
        <v>10</v>
      </c>
      <c r="S31" s="196">
        <f>'Ceny składowe'!C78</f>
        <v>9.1</v>
      </c>
      <c r="T31" s="196">
        <f>S31*Q31</f>
        <v>0.45500000000000002</v>
      </c>
      <c r="V31" t="s">
        <v>490</v>
      </c>
      <c r="W31" t="s">
        <v>710</v>
      </c>
      <c r="X31" s="84">
        <f>((W8*4)/1000+(W9+W10)*4/1000)/100</f>
        <v>8.4000000000000005E-2</v>
      </c>
      <c r="Y31" t="s">
        <v>64</v>
      </c>
      <c r="Z31" s="196">
        <f>'Ceny składowe'!C69</f>
        <v>38.78</v>
      </c>
      <c r="AA31" s="199">
        <f>X31*Z31</f>
        <v>3.2575200000000004</v>
      </c>
    </row>
    <row r="32" spans="1:27">
      <c r="V32" t="s">
        <v>675</v>
      </c>
      <c r="W32" t="s">
        <v>709</v>
      </c>
      <c r="X32" s="84">
        <v>0.05</v>
      </c>
      <c r="Y32" t="s">
        <v>64</v>
      </c>
      <c r="Z32" s="196">
        <f>'Ceny składowe'!C78</f>
        <v>9.1</v>
      </c>
      <c r="AA32" s="199">
        <f>X32*Z32</f>
        <v>0.45500000000000002</v>
      </c>
    </row>
    <row r="33" spans="1:27">
      <c r="E33" s="73" t="s">
        <v>301</v>
      </c>
      <c r="F33" s="196">
        <f>F29+F30</f>
        <v>19.082840000000004</v>
      </c>
      <c r="L33" s="127" t="s">
        <v>301</v>
      </c>
      <c r="M33" s="199">
        <f>SUM(M29:M31)</f>
        <v>189.60313544000005</v>
      </c>
      <c r="N33" s="291">
        <f>'Cennik Produkcja '!D105</f>
        <v>50</v>
      </c>
      <c r="S33" s="143" t="s">
        <v>301</v>
      </c>
      <c r="T33" s="196">
        <f>SUM(T29:T31)</f>
        <v>119.38436000000002</v>
      </c>
    </row>
    <row r="34" spans="1:27">
      <c r="E34" s="73" t="s">
        <v>305</v>
      </c>
      <c r="F34" s="196">
        <f>IF(B19&lt;1,150,B19*150)</f>
        <v>150</v>
      </c>
      <c r="L34" s="127" t="s">
        <v>305</v>
      </c>
      <c r="M34" s="199">
        <f>IF(I19&lt;1,150+(M30*2),(I19*150)+(M30*2))</f>
        <v>681.17105760000004</v>
      </c>
      <c r="N34" s="556"/>
      <c r="S34" s="143" t="s">
        <v>305</v>
      </c>
      <c r="T34" s="196">
        <f>T33*3.5</f>
        <v>417.84526000000005</v>
      </c>
      <c r="Z34" s="143" t="s">
        <v>301</v>
      </c>
      <c r="AA34" s="288">
        <f>SUM(AA29:AA32)</f>
        <v>125.91907999999999</v>
      </c>
    </row>
    <row r="35" spans="1:27">
      <c r="N35" s="291">
        <f>IF($N33=P35,1,0)</f>
        <v>1</v>
      </c>
      <c r="O35" s="291" t="s">
        <v>948</v>
      </c>
      <c r="P35" s="291">
        <v>50</v>
      </c>
      <c r="Q35" s="292">
        <f>'Ceny składowe'!C60</f>
        <v>57.17</v>
      </c>
      <c r="Z35" s="143" t="s">
        <v>305</v>
      </c>
      <c r="AA35" s="288">
        <f>AA34*4</f>
        <v>503.67631999999998</v>
      </c>
    </row>
    <row r="36" spans="1:27">
      <c r="B36" s="236" t="s">
        <v>411</v>
      </c>
      <c r="C36" s="251">
        <f>IF(AND(C12&lt;=1000,C13&lt;=1000),25,IF(AND(C12&lt;=1000,C13&gt;1000),30,IF(AND(C12&gt;1000,C13&lt;=1000),30,IF(AND(C12&gt;1000,C13&gt;1000),40))))</f>
        <v>25</v>
      </c>
      <c r="D36" s="237" t="s">
        <v>412</v>
      </c>
      <c r="E36" s="239">
        <f>'Ceny składowe'!C100</f>
        <v>0</v>
      </c>
      <c r="F36" s="238">
        <f>C36*E36</f>
        <v>0</v>
      </c>
      <c r="I36" s="236" t="s">
        <v>411</v>
      </c>
      <c r="J36" s="251">
        <f>IF(AND(J12&lt;=1000,J13&lt;=1000),25,IF(AND(J12&lt;=1000,J13&gt;1000),30,IF(AND(J12&gt;1000,J13&lt;=1000),30,IF(AND(J12&gt;1000,J13&gt;1000),40))))</f>
        <v>25</v>
      </c>
      <c r="K36" s="237" t="s">
        <v>412</v>
      </c>
      <c r="L36" s="239">
        <f>'Ceny składowe'!J102</f>
        <v>0</v>
      </c>
      <c r="M36" s="238">
        <f>J36*L36</f>
        <v>0</v>
      </c>
      <c r="N36" s="291">
        <f>IF($N33=P36,1,0)</f>
        <v>0</v>
      </c>
      <c r="O36" s="291" t="s">
        <v>453</v>
      </c>
      <c r="P36" s="291">
        <v>100</v>
      </c>
      <c r="Q36" s="292">
        <f>'Ceny składowe'!C62</f>
        <v>45.8</v>
      </c>
    </row>
    <row r="37" spans="1:27">
      <c r="B37" s="159"/>
      <c r="C37" s="74"/>
      <c r="D37" s="237" t="s">
        <v>418</v>
      </c>
      <c r="E37" s="237" t="s">
        <v>419</v>
      </c>
      <c r="F37" s="240"/>
      <c r="I37" s="159"/>
      <c r="J37" s="74"/>
      <c r="K37" s="237" t="s">
        <v>418</v>
      </c>
      <c r="L37" s="237" t="s">
        <v>419</v>
      </c>
      <c r="M37" s="240"/>
      <c r="W37" s="236" t="s">
        <v>411</v>
      </c>
      <c r="X37" s="251">
        <f>IF(AND(X12&lt;=1000,X13&lt;=1000),25,IF(AND(X12&lt;=1000,X13&gt;1000),30,IF(AND(X12&gt;1000,X13&lt;=1000),30,IF(AND(X12&gt;1000,X13&gt;1000),40))))</f>
        <v>25</v>
      </c>
      <c r="Y37" s="237" t="s">
        <v>412</v>
      </c>
      <c r="Z37" s="239">
        <f>'Ceny składowe'!X102</f>
        <v>0</v>
      </c>
      <c r="AA37" s="238">
        <f>X37*Z37</f>
        <v>0</v>
      </c>
    </row>
    <row r="38" spans="1:27">
      <c r="B38" s="159"/>
      <c r="C38" s="74"/>
      <c r="D38" s="237"/>
      <c r="E38" s="237"/>
      <c r="F38" s="240"/>
      <c r="I38" s="159"/>
      <c r="J38" s="74"/>
      <c r="K38" s="237"/>
      <c r="L38" s="237"/>
      <c r="M38" s="240"/>
      <c r="P38" s="236" t="s">
        <v>411</v>
      </c>
      <c r="Q38" s="251">
        <f>IF(AND(Q12&lt;=1000,Q13&lt;=1000),25,IF(AND(Q12&lt;=1000,Q13&gt;1000),30,IF(AND(Q12&gt;1000,Q13&lt;=1000),30,IF(AND(Q12&gt;1000,Q13&gt;1000),40))))</f>
        <v>25</v>
      </c>
      <c r="R38" s="237" t="s">
        <v>412</v>
      </c>
      <c r="S38" s="239">
        <f>'Ceny składowe'!Q102</f>
        <v>0</v>
      </c>
      <c r="T38" s="238">
        <f>Q38*S38</f>
        <v>0</v>
      </c>
      <c r="V38" s="291">
        <f>'Cennik Produkcja '!D112</f>
        <v>50</v>
      </c>
      <c r="W38" s="159"/>
      <c r="X38" s="74"/>
      <c r="Y38" s="237" t="s">
        <v>418</v>
      </c>
      <c r="Z38" s="237" t="s">
        <v>419</v>
      </c>
      <c r="AA38" s="240"/>
    </row>
    <row r="39" spans="1:27">
      <c r="H39" s="291">
        <f>'Cennik Produkcja '!D98</f>
        <v>19</v>
      </c>
      <c r="P39" s="159"/>
      <c r="Q39" s="74"/>
      <c r="R39" s="237" t="s">
        <v>418</v>
      </c>
      <c r="S39" s="237" t="s">
        <v>419</v>
      </c>
      <c r="T39" s="240"/>
      <c r="V39" s="291">
        <f>IF(V38=0,0,IF(V38=20,20,IF(V38=30,30,IF(V38=40,40,IF(V38=50,50)))))</f>
        <v>50</v>
      </c>
      <c r="W39" s="159"/>
      <c r="X39" s="74"/>
      <c r="Y39" s="237"/>
      <c r="Z39" s="237"/>
      <c r="AA39" s="240"/>
    </row>
    <row r="40" spans="1:27">
      <c r="A40" t="s">
        <v>234</v>
      </c>
      <c r="H40" s="291">
        <f>IF(H39&lt;=10,9,IF(H39&lt;=15,13,IF(H39&lt;=20,19,IF(H39&lt;=25,25,IF(H39&lt;=35,32)))))</f>
        <v>19</v>
      </c>
      <c r="O40" t="s">
        <v>521</v>
      </c>
      <c r="P40" t="s">
        <v>522</v>
      </c>
    </row>
    <row r="41" spans="1:27">
      <c r="V41" s="291">
        <f>IF($V39=X41,1,0)</f>
        <v>0</v>
      </c>
      <c r="W41" s="49" t="s">
        <v>813</v>
      </c>
      <c r="X41" s="291">
        <v>20</v>
      </c>
      <c r="Y41" s="291"/>
      <c r="Z41" s="292">
        <f>'Ceny składowe'!C53</f>
        <v>20.13</v>
      </c>
    </row>
    <row r="42" spans="1:27">
      <c r="A42" t="s">
        <v>186</v>
      </c>
      <c r="B42">
        <f>B45+150</f>
        <v>550</v>
      </c>
      <c r="H42" s="291">
        <f>IF($H40=J42,1,0)</f>
        <v>0</v>
      </c>
      <c r="I42" s="291" t="s">
        <v>621</v>
      </c>
      <c r="J42" s="291">
        <v>9</v>
      </c>
      <c r="K42" s="291"/>
      <c r="L42" s="292">
        <f>'Ceny składowe'!C13</f>
        <v>26.81</v>
      </c>
      <c r="O42" t="s">
        <v>625</v>
      </c>
      <c r="P42" s="99" t="str">
        <f>'Cennik Produkcja '!F77</f>
        <v>H</v>
      </c>
      <c r="V42" s="291">
        <f>IF($V39=X42,1,0)</f>
        <v>0</v>
      </c>
      <c r="W42" s="49" t="s">
        <v>816</v>
      </c>
      <c r="X42" s="291">
        <v>30</v>
      </c>
      <c r="Y42" s="291"/>
      <c r="Z42" s="292">
        <f>'Ceny składowe'!C54</f>
        <v>22.57</v>
      </c>
    </row>
    <row r="43" spans="1:27">
      <c r="A43" t="s">
        <v>187</v>
      </c>
      <c r="B43">
        <f>B46+150</f>
        <v>550</v>
      </c>
      <c r="H43" s="291">
        <f>IF($H40=J43,1,0)</f>
        <v>0</v>
      </c>
      <c r="I43" s="291" t="s">
        <v>762</v>
      </c>
      <c r="J43" s="291">
        <v>13</v>
      </c>
      <c r="K43" s="291"/>
      <c r="L43" s="292">
        <f>'Ceny składowe'!C14</f>
        <v>28.21</v>
      </c>
      <c r="O43" t="s">
        <v>212</v>
      </c>
      <c r="P43">
        <f>P46+120</f>
        <v>425</v>
      </c>
      <c r="Q43" t="s">
        <v>27</v>
      </c>
      <c r="V43" s="291">
        <f>IF($V39=X43,1,0)</f>
        <v>0</v>
      </c>
      <c r="W43" s="49" t="s">
        <v>819</v>
      </c>
      <c r="X43" s="291">
        <v>40</v>
      </c>
      <c r="Y43" s="291"/>
      <c r="Z43" s="292">
        <f>'Ceny składowe'!C55</f>
        <v>28.01</v>
      </c>
    </row>
    <row r="44" spans="1:27">
      <c r="A44" t="s">
        <v>89</v>
      </c>
      <c r="B44">
        <f>'Cennik Produkcja '!D89</f>
        <v>300</v>
      </c>
      <c r="H44" s="291">
        <f>IF($H40=J44,1,0)</f>
        <v>1</v>
      </c>
      <c r="I44" s="291" t="s">
        <v>643</v>
      </c>
      <c r="J44" s="291">
        <v>19</v>
      </c>
      <c r="K44" s="291"/>
      <c r="L44" s="292">
        <f>'Ceny składowe'!C15</f>
        <v>38.35</v>
      </c>
      <c r="O44" t="s">
        <v>213</v>
      </c>
      <c r="P44">
        <f>P47+120</f>
        <v>425</v>
      </c>
      <c r="Q44" t="s">
        <v>27</v>
      </c>
      <c r="V44" s="291">
        <f>IF($V39=X44,1,0)</f>
        <v>1</v>
      </c>
      <c r="W44" s="49" t="s">
        <v>753</v>
      </c>
      <c r="X44" s="291">
        <v>50</v>
      </c>
      <c r="Y44" s="291"/>
      <c r="Z44" s="292">
        <f>'Ceny składowe'!C56</f>
        <v>32.299999999999997</v>
      </c>
    </row>
    <row r="45" spans="1:27">
      <c r="A45" t="s">
        <v>188</v>
      </c>
      <c r="B45">
        <f>'Cennik Produkcja '!D87</f>
        <v>400</v>
      </c>
      <c r="H45" s="291">
        <f>IF($H40=J45,1,0)</f>
        <v>0</v>
      </c>
      <c r="I45" s="291" t="s">
        <v>215</v>
      </c>
      <c r="J45" s="291">
        <v>25</v>
      </c>
      <c r="K45" s="291"/>
      <c r="L45" s="292">
        <f>'Ceny składowe'!C12</f>
        <v>45.27</v>
      </c>
      <c r="O45" t="s">
        <v>89</v>
      </c>
      <c r="P45">
        <f>'Cennik Produkcja '!D75</f>
        <v>400</v>
      </c>
      <c r="Q45" t="s">
        <v>27</v>
      </c>
    </row>
    <row r="46" spans="1:27">
      <c r="A46" t="s">
        <v>189</v>
      </c>
      <c r="B46">
        <f>'Cennik Produkcja '!E87</f>
        <v>400</v>
      </c>
      <c r="H46" s="291">
        <f>IF($H40=J46,1,0)</f>
        <v>0</v>
      </c>
      <c r="I46" s="291" t="s">
        <v>514</v>
      </c>
      <c r="J46" s="291">
        <v>32</v>
      </c>
      <c r="K46" s="291"/>
      <c r="L46" s="292">
        <f>'Ceny składowe'!C16</f>
        <v>57.07</v>
      </c>
      <c r="O46" t="s">
        <v>210</v>
      </c>
      <c r="P46">
        <f>'Cennik Produkcja '!D73</f>
        <v>305</v>
      </c>
      <c r="Q46" t="s">
        <v>27</v>
      </c>
    </row>
    <row r="47" spans="1:27">
      <c r="A47" t="s">
        <v>190</v>
      </c>
      <c r="B47">
        <f>B45</f>
        <v>400</v>
      </c>
      <c r="O47" t="s">
        <v>211</v>
      </c>
      <c r="P47">
        <f>'Cennik Produkcja '!E73</f>
        <v>305</v>
      </c>
      <c r="Q47" t="s">
        <v>27</v>
      </c>
    </row>
    <row r="48" spans="1:27">
      <c r="A48" t="s">
        <v>191</v>
      </c>
      <c r="B48">
        <f>B46</f>
        <v>400</v>
      </c>
      <c r="O48" t="s">
        <v>190</v>
      </c>
      <c r="P48">
        <f>P46-30</f>
        <v>275</v>
      </c>
      <c r="Q48" t="s">
        <v>27</v>
      </c>
    </row>
    <row r="49" spans="1:20">
      <c r="O49" t="s">
        <v>191</v>
      </c>
      <c r="P49">
        <f>P47-30</f>
        <v>275</v>
      </c>
      <c r="Q49" t="s">
        <v>27</v>
      </c>
    </row>
    <row r="50" spans="1:20">
      <c r="O50" s="49" t="s">
        <v>208</v>
      </c>
      <c r="P50">
        <f>'Cennik Produkcja '!E75</f>
        <v>160</v>
      </c>
      <c r="Q50" t="s">
        <v>27</v>
      </c>
    </row>
    <row r="51" spans="1:20">
      <c r="A51" t="s">
        <v>192</v>
      </c>
      <c r="B51">
        <f>(B45+B46+B45+B46)/1000</f>
        <v>1.6</v>
      </c>
    </row>
    <row r="52" spans="1:20">
      <c r="A52" t="s">
        <v>193</v>
      </c>
      <c r="B52" s="70">
        <f>(((B45*B46)-(B47*B48))/1000000)*1.1</f>
        <v>0</v>
      </c>
      <c r="O52" t="s">
        <v>542</v>
      </c>
      <c r="P52" s="70">
        <f>((P43*P44)/1000000)</f>
        <v>0.18062500000000001</v>
      </c>
      <c r="Q52" s="5" t="s">
        <v>19</v>
      </c>
    </row>
    <row r="53" spans="1:20">
      <c r="A53" t="s">
        <v>194</v>
      </c>
      <c r="B53" s="70">
        <f>(((B42*B43)-(B45*B46))/1000000)*1.1</f>
        <v>0.15675</v>
      </c>
      <c r="O53" s="49" t="s">
        <v>540</v>
      </c>
      <c r="P53" s="316">
        <f>(P50*3.14*0.5)/10000</f>
        <v>2.5120000000000003E-2</v>
      </c>
      <c r="Q53" s="5" t="s">
        <v>19</v>
      </c>
      <c r="R53" s="74"/>
      <c r="S53" s="1"/>
      <c r="T53" s="74"/>
    </row>
    <row r="54" spans="1:20">
      <c r="A54" t="s">
        <v>195</v>
      </c>
      <c r="B54" s="70">
        <f>((((B45*B44)*2)+((B46*B44)*2))/1000000)*1.1</f>
        <v>0.52800000000000002</v>
      </c>
      <c r="C54" t="s">
        <v>196</v>
      </c>
      <c r="O54" s="317" t="s">
        <v>122</v>
      </c>
      <c r="P54" s="316">
        <f>((P50/2)*(P50/2)*3.14)/1000000</f>
        <v>2.0095999999999999E-2</v>
      </c>
      <c r="Q54" s="5" t="s">
        <v>19</v>
      </c>
      <c r="R54" s="74"/>
      <c r="S54" s="1"/>
      <c r="T54" s="74"/>
    </row>
    <row r="55" spans="1:20">
      <c r="A55" t="s">
        <v>124</v>
      </c>
      <c r="B55" s="70">
        <f>B52+B53+B54</f>
        <v>0.68474999999999997</v>
      </c>
      <c r="O55" t="s">
        <v>195</v>
      </c>
      <c r="P55" s="70">
        <f>((((P46*(P45+45))*2)+((P47*(P45+45))*2))/1000000)*1.05</f>
        <v>0.57004500000000002</v>
      </c>
      <c r="Q55" s="5" t="s">
        <v>19</v>
      </c>
    </row>
    <row r="56" spans="1:20">
      <c r="O56" t="s">
        <v>124</v>
      </c>
      <c r="P56" s="70">
        <f>P52+P55</f>
        <v>0.75067000000000006</v>
      </c>
      <c r="Q56" s="5" t="s">
        <v>19</v>
      </c>
    </row>
    <row r="57" spans="1:20">
      <c r="A57" t="s">
        <v>52</v>
      </c>
      <c r="B57">
        <v>0.8</v>
      </c>
      <c r="O57" t="s">
        <v>541</v>
      </c>
      <c r="P57" s="70">
        <f>P56-P54</f>
        <v>0.73057400000000006</v>
      </c>
      <c r="Q57" s="5" t="s">
        <v>19</v>
      </c>
    </row>
    <row r="58" spans="1:20">
      <c r="A58" t="s">
        <v>53</v>
      </c>
      <c r="B58">
        <v>8</v>
      </c>
      <c r="O58" t="s">
        <v>609</v>
      </c>
      <c r="P58" s="70">
        <f>((((P46*P45)*2)+((P47*P45)*2))/1000000)*1.01</f>
        <v>0.49287999999999998</v>
      </c>
      <c r="Q58" s="5" t="s">
        <v>19</v>
      </c>
    </row>
    <row r="59" spans="1:20">
      <c r="O59" t="s">
        <v>610</v>
      </c>
      <c r="P59" s="70">
        <f>P46*P47/1000000</f>
        <v>9.3024999999999997E-2</v>
      </c>
      <c r="Q59" s="5" t="s">
        <v>19</v>
      </c>
    </row>
    <row r="60" spans="1:20">
      <c r="A60" t="s">
        <v>197</v>
      </c>
      <c r="B60" s="70">
        <f>B58*B57*B55</f>
        <v>4.3823999999999996</v>
      </c>
      <c r="O60" t="s">
        <v>52</v>
      </c>
      <c r="P60">
        <v>0.8</v>
      </c>
    </row>
    <row r="61" spans="1:20">
      <c r="A61" t="s">
        <v>198</v>
      </c>
      <c r="B61" s="70">
        <f>B60/1000</f>
        <v>4.3823999999999998E-3</v>
      </c>
      <c r="O61" t="s">
        <v>53</v>
      </c>
      <c r="P61">
        <v>8</v>
      </c>
    </row>
    <row r="63" spans="1:20">
      <c r="O63" t="s">
        <v>197</v>
      </c>
      <c r="P63" s="70">
        <f>P61*P60*P56</f>
        <v>4.8042880000000006</v>
      </c>
      <c r="Q63" t="s">
        <v>17</v>
      </c>
    </row>
    <row r="64" spans="1:20">
      <c r="A64" s="73" t="s">
        <v>100</v>
      </c>
      <c r="B64" s="3" t="s">
        <v>4</v>
      </c>
      <c r="C64" s="3" t="s">
        <v>5</v>
      </c>
      <c r="D64" s="3"/>
      <c r="E64" s="3" t="s">
        <v>6</v>
      </c>
      <c r="F64" s="3" t="s">
        <v>7</v>
      </c>
      <c r="O64" t="s">
        <v>198</v>
      </c>
      <c r="P64" s="70">
        <f>P63/1000</f>
        <v>4.8042880000000003E-3</v>
      </c>
    </row>
    <row r="65" spans="1:20">
      <c r="A65" t="s">
        <v>246</v>
      </c>
      <c r="B65" t="s">
        <v>62</v>
      </c>
      <c r="C65" s="86">
        <f>B60</f>
        <v>4.3823999999999996</v>
      </c>
      <c r="D65" t="s">
        <v>17</v>
      </c>
      <c r="E65">
        <f>'Ceny składowe'!C7</f>
        <v>4.2</v>
      </c>
      <c r="F65" s="196">
        <f>C65*E65</f>
        <v>18.406079999999999</v>
      </c>
    </row>
    <row r="66" spans="1:20">
      <c r="A66" t="s">
        <v>334</v>
      </c>
      <c r="B66" t="s">
        <v>120</v>
      </c>
      <c r="C66">
        <f>B51*1.1</f>
        <v>1.7600000000000002</v>
      </c>
      <c r="D66" t="s">
        <v>2</v>
      </c>
      <c r="E66">
        <f>'Ceny składowe'!C34</f>
        <v>1.89</v>
      </c>
      <c r="F66" s="196">
        <f>C66*E66</f>
        <v>3.3264000000000005</v>
      </c>
    </row>
    <row r="67" spans="1:20">
      <c r="A67" t="s">
        <v>337</v>
      </c>
      <c r="B67" t="s">
        <v>144</v>
      </c>
      <c r="C67">
        <v>4</v>
      </c>
      <c r="D67" t="s">
        <v>10</v>
      </c>
      <c r="E67">
        <f>'Ceny składowe'!C20</f>
        <v>0.27</v>
      </c>
      <c r="F67" s="196">
        <f>C67*E67</f>
        <v>1.08</v>
      </c>
      <c r="O67" s="73" t="s">
        <v>100</v>
      </c>
      <c r="P67" s="3" t="s">
        <v>4</v>
      </c>
      <c r="Q67" s="3" t="s">
        <v>5</v>
      </c>
      <c r="S67" s="3" t="s">
        <v>6</v>
      </c>
      <c r="T67" s="3" t="s">
        <v>7</v>
      </c>
    </row>
    <row r="68" spans="1:20">
      <c r="A68" t="s">
        <v>675</v>
      </c>
      <c r="B68" t="s">
        <v>709</v>
      </c>
      <c r="C68">
        <v>0.05</v>
      </c>
      <c r="D68" t="s">
        <v>10</v>
      </c>
      <c r="E68">
        <f>'Ceny składowe'!C78</f>
        <v>9.1</v>
      </c>
      <c r="F68" s="196">
        <f>C68*E68</f>
        <v>0.45500000000000002</v>
      </c>
      <c r="O68" t="s">
        <v>246</v>
      </c>
      <c r="P68" t="s">
        <v>257</v>
      </c>
      <c r="Q68" s="70">
        <f>P63</f>
        <v>4.8042880000000006</v>
      </c>
      <c r="R68" t="s">
        <v>17</v>
      </c>
      <c r="S68" s="199">
        <f>'Ceny składowe'!C7</f>
        <v>4.2</v>
      </c>
      <c r="T68" s="199">
        <f>S68*Q68</f>
        <v>20.178009600000003</v>
      </c>
    </row>
    <row r="69" spans="1:20">
      <c r="O69" t="s">
        <v>176</v>
      </c>
      <c r="P69" t="s">
        <v>127</v>
      </c>
      <c r="Q69" s="70">
        <f>P53*4.8</f>
        <v>0.12057600000000002</v>
      </c>
      <c r="R69" t="s">
        <v>17</v>
      </c>
      <c r="S69" s="199">
        <f>'Ceny składowe'!C6</f>
        <v>4.3</v>
      </c>
      <c r="T69" s="199">
        <f>Q69*S69</f>
        <v>0.51847680000000007</v>
      </c>
    </row>
    <row r="70" spans="1:20">
      <c r="E70" s="73" t="s">
        <v>301</v>
      </c>
      <c r="F70" s="196">
        <f>SUM(F65:F68)</f>
        <v>23.267479999999999</v>
      </c>
      <c r="O70" t="s">
        <v>206</v>
      </c>
      <c r="P70" t="s">
        <v>626</v>
      </c>
      <c r="Q70" s="86">
        <f>IF(P42="A",4,IF(P42="H",0.0001))</f>
        <v>1E-4</v>
      </c>
      <c r="R70" t="s">
        <v>64</v>
      </c>
      <c r="S70" s="199">
        <f>'Ceny składowe'!C25</f>
        <v>0.16</v>
      </c>
      <c r="T70" s="199">
        <f>S70*Q70</f>
        <v>1.6000000000000003E-5</v>
      </c>
    </row>
    <row r="71" spans="1:20">
      <c r="E71" s="73" t="s">
        <v>305</v>
      </c>
      <c r="F71" s="196">
        <f>F70*6</f>
        <v>139.60487999999998</v>
      </c>
      <c r="O71" t="s">
        <v>199</v>
      </c>
      <c r="P71" t="s">
        <v>627</v>
      </c>
      <c r="Q71" s="86">
        <f>IF(P42="H",4,IF(P42="A",0.0001))</f>
        <v>4</v>
      </c>
      <c r="R71" t="s">
        <v>64</v>
      </c>
      <c r="S71" s="199">
        <f>'Ceny składowe'!C26</f>
        <v>0.19</v>
      </c>
      <c r="T71" s="199">
        <f>Q71*S71</f>
        <v>0.76</v>
      </c>
    </row>
    <row r="72" spans="1:20">
      <c r="O72" s="284" t="str">
        <f>VLOOKUP(1,O85:P90,2,FALSE)</f>
        <v>KAUCZUK 10MM</v>
      </c>
      <c r="P72" t="s">
        <v>612</v>
      </c>
      <c r="Q72" s="70">
        <f>IF(O85=1,P58+P59,IF(O83&gt;10,P58))</f>
        <v>0.58590500000000001</v>
      </c>
      <c r="R72" t="s">
        <v>19</v>
      </c>
      <c r="S72" s="294">
        <f>IF(O83=Q85,S85,IF(O83=Q86,S86,IF(O83=Q87,S87,IF(O83=Q88,S88,IF(O83=Q89,S89)))))</f>
        <v>26.81</v>
      </c>
      <c r="T72" s="199">
        <f>S72*Q72</f>
        <v>15.70811305</v>
      </c>
    </row>
    <row r="73" spans="1:20">
      <c r="B73" s="236" t="s">
        <v>411</v>
      </c>
      <c r="C73" s="251">
        <f>IF(AND(C47&lt;=1000,C48&lt;=1000),25,IF(AND(C47&lt;=1000,C48&gt;1000),30,IF(AND(C47&gt;1000,C48&lt;=1000),30,IF(AND(C47&gt;1000,C48&gt;1000),40))))</f>
        <v>25</v>
      </c>
      <c r="D73" s="237" t="s">
        <v>412</v>
      </c>
      <c r="E73" s="239">
        <f>'Ceny składowe'!C135</f>
        <v>0</v>
      </c>
      <c r="F73" s="238">
        <f>C73*E73</f>
        <v>0</v>
      </c>
      <c r="O73" s="100" t="str">
        <f>P85</f>
        <v>KAUCZUK 10MM</v>
      </c>
      <c r="P73" t="s">
        <v>611</v>
      </c>
      <c r="Q73" s="86">
        <f>IF(O83&lt;=10,0.0001,IF(O83&gt;10,P59))</f>
        <v>1E-4</v>
      </c>
      <c r="R73" t="s">
        <v>19</v>
      </c>
      <c r="S73" s="196">
        <f>'Ceny składowe'!C13</f>
        <v>26.81</v>
      </c>
      <c r="T73" s="199">
        <f>Q73*S73</f>
        <v>2.6809999999999998E-3</v>
      </c>
    </row>
    <row r="74" spans="1:20">
      <c r="B74" s="159"/>
      <c r="C74" s="74"/>
      <c r="D74" s="237" t="s">
        <v>418</v>
      </c>
      <c r="E74" s="237" t="s">
        <v>419</v>
      </c>
      <c r="F74" s="240"/>
      <c r="O74" t="s">
        <v>617</v>
      </c>
      <c r="P74" t="s">
        <v>618</v>
      </c>
      <c r="Q74" s="86">
        <f>(12+(P45/50))/656</f>
        <v>3.048780487804878E-2</v>
      </c>
      <c r="R74" t="s">
        <v>17</v>
      </c>
      <c r="S74" s="287">
        <f>'Ceny składowe'!C58</f>
        <v>17.899999999999999</v>
      </c>
      <c r="T74" s="199">
        <f>Q74*S74</f>
        <v>0.5457317073170731</v>
      </c>
    </row>
    <row r="75" spans="1:20">
      <c r="O75" s="49" t="s">
        <v>675</v>
      </c>
      <c r="P75" s="49" t="s">
        <v>676</v>
      </c>
      <c r="Q75">
        <v>0.05</v>
      </c>
      <c r="R75" t="s">
        <v>64</v>
      </c>
      <c r="S75" s="287">
        <f>'Ceny składowe'!C78</f>
        <v>9.1</v>
      </c>
      <c r="T75" s="199">
        <f>Q75*S75</f>
        <v>0.45500000000000002</v>
      </c>
    </row>
    <row r="77" spans="1:20">
      <c r="S77" s="127" t="s">
        <v>301</v>
      </c>
      <c r="T77" s="199">
        <f>SUM(T68:T75)</f>
        <v>38.168028157317075</v>
      </c>
    </row>
    <row r="78" spans="1:20">
      <c r="S78" s="127" t="s">
        <v>305</v>
      </c>
      <c r="T78" s="199">
        <f>IF(P57&lt;1,150+(T72*2.6),(P57*150)+(T72*2.7))</f>
        <v>190.84109393</v>
      </c>
    </row>
    <row r="79" spans="1:20">
      <c r="S79" s="54" t="s">
        <v>294</v>
      </c>
      <c r="T79" s="295">
        <f>(T78-T82)/T82</f>
        <v>1.3805137573735071</v>
      </c>
    </row>
    <row r="81" spans="15:20">
      <c r="P81" s="236" t="s">
        <v>411</v>
      </c>
      <c r="Q81" s="251">
        <f>IF(P46&gt;=900,IF(P45&gt;500,190,160),IF(P46&gt;=800,IF(P45&gt;500,175,150),IF(P46&gt;=700,IF(P45&gt;500,140,120),IF(P46&gt;=600,IF(P45&gt;500,115,100),IF(P46&gt;=500,IF(P45&gt;500,95,85),IF(P46&gt;=400,IF(P45&gt;500,80,70),IF(P46&gt;=300,IF(P45&gt;=300,60,55),IF(P46&gt;0,IF(P45&gt;200,50,45),0))))))))</f>
        <v>60</v>
      </c>
      <c r="R81" s="237" t="s">
        <v>412</v>
      </c>
      <c r="S81" s="239">
        <f>'Ceny składowe'!C94</f>
        <v>0.7</v>
      </c>
      <c r="T81" s="238">
        <f>Q81*S81</f>
        <v>42</v>
      </c>
    </row>
    <row r="82" spans="15:20">
      <c r="O82" s="291">
        <f>'Cennik Produkcja '!D77</f>
        <v>10</v>
      </c>
      <c r="Q82" s="74"/>
      <c r="R82" s="237" t="s">
        <v>418</v>
      </c>
      <c r="S82" s="237" t="s">
        <v>419</v>
      </c>
      <c r="T82" s="240">
        <f>T77+T81</f>
        <v>80.168028157317082</v>
      </c>
    </row>
    <row r="83" spans="15:20">
      <c r="O83" s="291">
        <f>IF(O82=0,0,IF(O82&lt;=10,9,IF(O82&lt;=15,13,IF(O82&lt;=20,19,IF(O82&lt;=25,25,IF(O82&lt;=35,32))))))</f>
        <v>9</v>
      </c>
    </row>
    <row r="85" spans="15:20">
      <c r="O85" s="291">
        <f>IF($O83=Q85,1,0)</f>
        <v>1</v>
      </c>
      <c r="P85" s="291" t="s">
        <v>621</v>
      </c>
      <c r="Q85" s="291">
        <v>9</v>
      </c>
      <c r="R85" s="291"/>
      <c r="S85" s="292">
        <f>'Ceny składowe'!C13</f>
        <v>26.81</v>
      </c>
    </row>
    <row r="86" spans="15:20">
      <c r="O86" s="291">
        <f>IF($O83=Q86,1,0)</f>
        <v>0</v>
      </c>
      <c r="P86" s="291" t="s">
        <v>513</v>
      </c>
      <c r="Q86" s="291">
        <v>13</v>
      </c>
      <c r="R86" s="291"/>
      <c r="S86" s="292">
        <f>'Ceny składowe'!C14</f>
        <v>28.21</v>
      </c>
    </row>
    <row r="87" spans="15:20">
      <c r="O87" s="291">
        <f>IF($O83=Q87,1,0)</f>
        <v>0</v>
      </c>
      <c r="P87" s="291" t="s">
        <v>643</v>
      </c>
      <c r="Q87" s="291">
        <v>19</v>
      </c>
      <c r="R87" s="291"/>
      <c r="S87" s="292">
        <f>'Ceny składowe'!C15</f>
        <v>38.35</v>
      </c>
    </row>
    <row r="88" spans="15:20">
      <c r="O88" s="291">
        <f>IF($O83=Q88,1,0)</f>
        <v>0</v>
      </c>
      <c r="P88" s="291" t="s">
        <v>215</v>
      </c>
      <c r="Q88" s="291">
        <v>25</v>
      </c>
      <c r="R88" s="291"/>
      <c r="S88" s="292">
        <f>'Ceny składowe'!C12</f>
        <v>45.27</v>
      </c>
    </row>
    <row r="89" spans="15:20">
      <c r="O89" s="291">
        <f>IF($O83=Q89,1,0)</f>
        <v>0</v>
      </c>
      <c r="P89" s="291" t="s">
        <v>514</v>
      </c>
      <c r="Q89" s="291">
        <v>32</v>
      </c>
      <c r="R89" s="291"/>
      <c r="S89" s="292">
        <f>'Ceny składowe'!C16</f>
        <v>57.07</v>
      </c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1632-6538-461D-85F7-E0EA8D6346E2}">
  <dimension ref="A2:F26"/>
  <sheetViews>
    <sheetView workbookViewId="0">
      <selection activeCell="F26" sqref="F26"/>
    </sheetView>
  </sheetViews>
  <sheetFormatPr defaultRowHeight="14.4"/>
  <cols>
    <col min="1" max="1" width="17.6640625" customWidth="1"/>
    <col min="2" max="2" width="16.6640625" customWidth="1"/>
    <col min="3" max="3" width="15.88671875" customWidth="1"/>
    <col min="4" max="4" width="7.5546875" customWidth="1"/>
    <col min="6" max="6" width="15.44140625" customWidth="1"/>
    <col min="7" max="7" width="11.44140625" bestFit="1" customWidth="1"/>
  </cols>
  <sheetData>
    <row r="2" spans="2:4">
      <c r="B2" t="s">
        <v>790</v>
      </c>
    </row>
    <row r="4" spans="2:4">
      <c r="B4" t="s">
        <v>793</v>
      </c>
      <c r="C4">
        <f>'Cennik Produkcja '!D396</f>
        <v>560</v>
      </c>
      <c r="D4" t="s">
        <v>27</v>
      </c>
    </row>
    <row r="5" spans="2:4">
      <c r="B5" t="s">
        <v>794</v>
      </c>
      <c r="C5">
        <f>'Cennik Produkcja '!E396</f>
        <v>450</v>
      </c>
      <c r="D5" t="s">
        <v>27</v>
      </c>
    </row>
    <row r="6" spans="2:4">
      <c r="B6" t="s">
        <v>89</v>
      </c>
      <c r="C6">
        <f>'Cennik Produkcja '!D398</f>
        <v>150</v>
      </c>
      <c r="D6" t="s">
        <v>27</v>
      </c>
    </row>
    <row r="10" spans="2:4">
      <c r="B10" t="s">
        <v>136</v>
      </c>
      <c r="C10" s="86">
        <f>((PI()*((C4+C5)/2)*SQRT(POWER(C6,2)+POWER((C4-C5)/2,2)) + PI()*C4*65 + PI()*C5*65)/1000000)*1.15</f>
        <v>0.52867125459917008</v>
      </c>
      <c r="D10" t="s">
        <v>19</v>
      </c>
    </row>
    <row r="12" spans="2:4">
      <c r="B12" t="s">
        <v>52</v>
      </c>
      <c r="C12">
        <v>0.6</v>
      </c>
      <c r="D12" t="s">
        <v>27</v>
      </c>
    </row>
    <row r="13" spans="2:4">
      <c r="B13" t="s">
        <v>53</v>
      </c>
      <c r="C13">
        <v>8</v>
      </c>
    </row>
    <row r="15" spans="2:4">
      <c r="B15" t="s">
        <v>115</v>
      </c>
      <c r="C15" s="70">
        <f>(C10*C12*C13)*1.05</f>
        <v>2.6645031231798173</v>
      </c>
      <c r="D15" t="s">
        <v>17</v>
      </c>
    </row>
    <row r="16" spans="2:4">
      <c r="C16" s="70"/>
    </row>
    <row r="20" spans="1:6">
      <c r="A20" s="54" t="s">
        <v>100</v>
      </c>
      <c r="B20" s="13" t="s">
        <v>4</v>
      </c>
      <c r="C20" s="10" t="s">
        <v>5</v>
      </c>
      <c r="E20" s="13" t="s">
        <v>6</v>
      </c>
      <c r="F20" s="13" t="s">
        <v>7</v>
      </c>
    </row>
    <row r="21" spans="1:6">
      <c r="A21" s="108" t="s">
        <v>176</v>
      </c>
      <c r="B21" t="s">
        <v>127</v>
      </c>
      <c r="C21" s="70">
        <f>C15</f>
        <v>2.6645031231798173</v>
      </c>
      <c r="D21" t="s">
        <v>17</v>
      </c>
      <c r="E21" s="195">
        <f>'Ceny składowe'!C6</f>
        <v>4.3</v>
      </c>
      <c r="F21" s="195">
        <f>E21*C21</f>
        <v>11.457363429673213</v>
      </c>
    </row>
    <row r="22" spans="1:6">
      <c r="F22" s="86"/>
    </row>
    <row r="23" spans="1:6">
      <c r="E23" s="123" t="s">
        <v>43</v>
      </c>
      <c r="F23" s="195">
        <f>F21</f>
        <v>11.457363429673213</v>
      </c>
    </row>
    <row r="24" spans="1:6">
      <c r="E24" s="2"/>
      <c r="F24" s="142"/>
    </row>
    <row r="25" spans="1:6">
      <c r="E25" s="125" t="s">
        <v>293</v>
      </c>
      <c r="F25" s="195">
        <f>(_xlfn.IFS(AND(C4&lt;=125,C5&lt;=125),13, AND(C4&lt;=160,C5&lt;=160),11.8, AND(C4&lt;=200,C5&lt;=200),10.5, AND(C4&lt;=250,C5&lt;=250),9.5, AND(C4&lt;=315,C5&lt;=315),8.5, TRUE,7) * (F23 * (C4+C5+100) / (C4+C5+(C6*2)))) + ((C6-50)/50*1)</f>
        <v>69.957033472183866</v>
      </c>
    </row>
    <row r="26" spans="1:6">
      <c r="E26" s="54" t="s">
        <v>294</v>
      </c>
      <c r="F26" s="126">
        <f>(F25-F23)/F23</f>
        <v>5.1058579403184012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8E40-145C-4105-9A80-961AAA27EBB6}">
  <dimension ref="A3:K53"/>
  <sheetViews>
    <sheetView workbookViewId="0">
      <selection activeCell="G33" sqref="G33"/>
    </sheetView>
  </sheetViews>
  <sheetFormatPr defaultRowHeight="14.4"/>
  <cols>
    <col min="1" max="1" width="26.44140625" customWidth="1"/>
    <col min="2" max="2" width="26.6640625" customWidth="1"/>
    <col min="3" max="3" width="14.88671875" customWidth="1"/>
    <col min="4" max="4" width="14.44140625" customWidth="1"/>
    <col min="5" max="5" width="10" customWidth="1"/>
    <col min="6" max="6" width="16.6640625" customWidth="1"/>
    <col min="7" max="8" width="26.6640625" customWidth="1"/>
    <col min="9" max="9" width="11.6640625" customWidth="1"/>
    <col min="10" max="10" width="14.44140625" customWidth="1"/>
    <col min="11" max="11" width="10" customWidth="1"/>
  </cols>
  <sheetData>
    <row r="3" spans="2:10">
      <c r="B3" s="1" t="s">
        <v>606</v>
      </c>
      <c r="H3" s="1" t="s">
        <v>607</v>
      </c>
    </row>
    <row r="5" spans="2:10">
      <c r="B5" t="s">
        <v>153</v>
      </c>
      <c r="C5">
        <f>'Cennik Produkcja '!D361</f>
        <v>500</v>
      </c>
      <c r="D5">
        <f>C5+D7</f>
        <v>500</v>
      </c>
      <c r="H5" t="s">
        <v>153</v>
      </c>
      <c r="I5">
        <f>'Cennik Produkcja '!D368</f>
        <v>800</v>
      </c>
      <c r="J5">
        <f>I5+J7</f>
        <v>800</v>
      </c>
    </row>
    <row r="6" spans="2:10">
      <c r="B6" t="s">
        <v>89</v>
      </c>
      <c r="C6">
        <f>'Cennik Produkcja '!D363</f>
        <v>1000</v>
      </c>
      <c r="H6" t="s">
        <v>89</v>
      </c>
      <c r="I6">
        <f>'Cennik Produkcja '!D370</f>
        <v>1000</v>
      </c>
    </row>
    <row r="7" spans="2:10">
      <c r="B7" s="284" t="s">
        <v>661</v>
      </c>
      <c r="C7" s="428" t="str">
        <f>'Cennik Produkcja '!E363</f>
        <v>Brak</v>
      </c>
      <c r="D7">
        <f>IF(C7="Brak",0,IF(C7&gt;10,C7*2))</f>
        <v>0</v>
      </c>
      <c r="H7" s="284" t="s">
        <v>661</v>
      </c>
      <c r="I7" s="428" t="str">
        <f>'Cennik Produkcja '!E370</f>
        <v>Brak</v>
      </c>
      <c r="J7">
        <f>IF(I7="Brak",0,IF(I7&gt;10,I7*2))</f>
        <v>0</v>
      </c>
    </row>
    <row r="8" spans="2:10">
      <c r="B8" s="284" t="s">
        <v>843</v>
      </c>
      <c r="C8" s="428" t="str">
        <f>'Cennik Produkcja '!D365</f>
        <v>Brak</v>
      </c>
    </row>
    <row r="9" spans="2:10">
      <c r="B9" s="284" t="s">
        <v>844</v>
      </c>
      <c r="C9" s="428" t="str">
        <f>'Cennik Produkcja '!E365</f>
        <v>Brak</v>
      </c>
    </row>
    <row r="10" spans="2:10">
      <c r="C10" s="92"/>
    </row>
    <row r="11" spans="2:10">
      <c r="B11" t="s">
        <v>157</v>
      </c>
      <c r="C11" s="86">
        <f>(((C5*3.14)+7)*C6)/1000000</f>
        <v>1.577</v>
      </c>
      <c r="D11" t="s">
        <v>19</v>
      </c>
      <c r="E11" s="70"/>
      <c r="H11" t="s">
        <v>157</v>
      </c>
      <c r="I11" s="86">
        <f>(((I5*3.14)+7)*I6)/1000000</f>
        <v>2.5190000000000001</v>
      </c>
      <c r="J11" t="s">
        <v>19</v>
      </c>
    </row>
    <row r="12" spans="2:10">
      <c r="B12" s="284" t="s">
        <v>822</v>
      </c>
      <c r="C12" s="380">
        <f>IF(C7="Brak",0,(((C5+(C7*2))*3.14)+7)*C6/1000000)</f>
        <v>0</v>
      </c>
      <c r="D12" s="284" t="s">
        <v>19</v>
      </c>
      <c r="H12" s="284" t="s">
        <v>822</v>
      </c>
      <c r="I12" s="380">
        <f>IF(I7="Brak",0,(((I5+(I7*2))*3.14)+7)*I6/1000000)</f>
        <v>0</v>
      </c>
      <c r="J12" s="284" t="s">
        <v>19</v>
      </c>
    </row>
    <row r="13" spans="2:10">
      <c r="B13" s="284" t="s">
        <v>824</v>
      </c>
      <c r="C13" s="380">
        <f>IF(C8="Dekiel",(PI()*((((D5+10)/1000)/2)^2-((C5/1000)/2)^2))+((C5*3.14)*65)/1000000,IF(C9="Dekiel",(PI()*((((D5+10)/1000)/2)^2-((C5/1000)/2)^2))+((C5*3.14)*65)/1000000,IF(C8="Redukcja",0,IF(C8="Brak",0))))</f>
        <v>0</v>
      </c>
      <c r="D13" s="284" t="s">
        <v>19</v>
      </c>
      <c r="E13" s="86">
        <f>IF(C8=C9,C13*2,IF(C8="Dekiel",C13,IF(C9="Dekiel",C13,IF(C8="Brak",0,IF(C9="Brak",0)))))</f>
        <v>0</v>
      </c>
      <c r="F13" s="74">
        <f>IF(C7="Brak",0,E13)</f>
        <v>0</v>
      </c>
    </row>
    <row r="14" spans="2:10">
      <c r="B14" s="284" t="s">
        <v>823</v>
      </c>
      <c r="C14" s="380">
        <f>IF(C9="Redukcja",PI()*((C5+D5)/2)*SQRT(150^2+((C5-D5)/2)^2)/1000000,IF(C8="Redukcja",PI()*((C5+D5)/2)*SQRT(150^2+((C5-D5)/2)^2)/1000000,IF(C9="Dekiel",0,IF(C9="Brak",0))))</f>
        <v>0</v>
      </c>
      <c r="D14" s="284" t="s">
        <v>19</v>
      </c>
      <c r="E14" s="86">
        <f>IF(C8=C9,C14*2,IF(C9="Redukcja",C14,IF(C8="Redukcja",C14,IF(C9="Brak",0,IF(C8="Brak",0)))))</f>
        <v>0</v>
      </c>
      <c r="F14" s="74">
        <f>IF(C7="Brak",0,E14)</f>
        <v>0</v>
      </c>
    </row>
    <row r="15" spans="2:10">
      <c r="B15" s="431" t="s">
        <v>845</v>
      </c>
      <c r="C15" s="432">
        <f>C11+C12+F13+F14</f>
        <v>1.577</v>
      </c>
      <c r="D15" s="430" t="s">
        <v>19</v>
      </c>
      <c r="H15" s="431" t="s">
        <v>845</v>
      </c>
      <c r="I15" s="432">
        <f>I11+I12</f>
        <v>2.5190000000000001</v>
      </c>
      <c r="J15" s="430" t="s">
        <v>19</v>
      </c>
    </row>
    <row r="16" spans="2:10">
      <c r="B16" s="284" t="s">
        <v>90</v>
      </c>
      <c r="C16" s="380">
        <f>IF(C7="Brak",0,((C5+(C7*2))*3.14)*C6/1000000)</f>
        <v>0</v>
      </c>
      <c r="D16" s="284" t="s">
        <v>19</v>
      </c>
      <c r="H16" s="284" t="s">
        <v>90</v>
      </c>
      <c r="I16" s="380">
        <f>IF(I7="Brak",0,((I5+(I7*2))*3.14)*I6/1000000)</f>
        <v>0</v>
      </c>
      <c r="J16" s="284" t="s">
        <v>19</v>
      </c>
    </row>
    <row r="17" spans="1:11">
      <c r="I17" s="90"/>
      <c r="J17" s="90"/>
    </row>
    <row r="18" spans="1:11">
      <c r="B18" t="s">
        <v>145</v>
      </c>
      <c r="C18">
        <v>0.6</v>
      </c>
      <c r="H18" t="s">
        <v>145</v>
      </c>
      <c r="I18">
        <v>0.5</v>
      </c>
      <c r="J18">
        <v>0.7</v>
      </c>
    </row>
    <row r="19" spans="1:11">
      <c r="B19" t="s">
        <v>145</v>
      </c>
      <c r="C19">
        <v>0.8</v>
      </c>
      <c r="H19" t="s">
        <v>146</v>
      </c>
      <c r="I19">
        <v>8</v>
      </c>
    </row>
    <row r="20" spans="1:11">
      <c r="B20" t="s">
        <v>146</v>
      </c>
      <c r="C20">
        <v>8</v>
      </c>
    </row>
    <row r="22" spans="1:11">
      <c r="B22" t="s">
        <v>147</v>
      </c>
      <c r="C22" s="70">
        <f>IF(C5&lt;=600,C15*C18*C20,IF(C5&gt;600,C15*C19*C20))</f>
        <v>7.5695999999999994</v>
      </c>
      <c r="D22" t="s">
        <v>17</v>
      </c>
      <c r="H22" t="s">
        <v>147</v>
      </c>
      <c r="I22" s="70">
        <f>I11*I18*I19</f>
        <v>10.076000000000001</v>
      </c>
      <c r="J22" s="70">
        <f>I11*J18*I19</f>
        <v>14.106399999999999</v>
      </c>
      <c r="K22" t="s">
        <v>17</v>
      </c>
    </row>
    <row r="23" spans="1:11">
      <c r="C23" s="70">
        <f>C22/1000</f>
        <v>7.5695999999999992E-3</v>
      </c>
      <c r="D23" t="s">
        <v>23</v>
      </c>
      <c r="I23" s="70">
        <f>I22/1000</f>
        <v>1.0076E-2</v>
      </c>
      <c r="J23" s="70">
        <f>J22/1000</f>
        <v>1.4106399999999998E-2</v>
      </c>
      <c r="K23" t="s">
        <v>23</v>
      </c>
    </row>
    <row r="24" spans="1:11">
      <c r="B24" s="70"/>
      <c r="I24" s="70"/>
    </row>
    <row r="25" spans="1:11">
      <c r="H25" s="70"/>
    </row>
    <row r="26" spans="1:11">
      <c r="A26" s="54" t="s">
        <v>100</v>
      </c>
      <c r="B26" s="13" t="s">
        <v>4</v>
      </c>
      <c r="C26" s="10" t="s">
        <v>5</v>
      </c>
    </row>
    <row r="27" spans="1:11">
      <c r="A27" t="s">
        <v>176</v>
      </c>
      <c r="B27" t="s">
        <v>127</v>
      </c>
      <c r="C27" s="86">
        <f>IF(C5&lt;=600,C22,IF(C5&gt;600,0.0001))</f>
        <v>7.5695999999999994</v>
      </c>
      <c r="D27" t="s">
        <v>17</v>
      </c>
      <c r="G27" s="54" t="s">
        <v>100</v>
      </c>
      <c r="H27" s="13" t="s">
        <v>4</v>
      </c>
      <c r="I27" s="10" t="s">
        <v>5</v>
      </c>
    </row>
    <row r="28" spans="1:11">
      <c r="A28" t="s">
        <v>246</v>
      </c>
      <c r="B28" t="s">
        <v>257</v>
      </c>
      <c r="C28" s="86">
        <f>IF(C5&lt;=600,0.0001,IF(C5&gt;600,C22))</f>
        <v>1E-4</v>
      </c>
      <c r="D28" t="s">
        <v>17</v>
      </c>
      <c r="G28" t="s">
        <v>603</v>
      </c>
      <c r="H28" t="s">
        <v>604</v>
      </c>
      <c r="I28" s="86">
        <f>IF(I5&lt;=600,I15/2,IF(I5&gt;600,0.0001))</f>
        <v>1E-4</v>
      </c>
      <c r="J28" t="s">
        <v>64</v>
      </c>
    </row>
    <row r="29" spans="1:11">
      <c r="A29" s="284" t="e">
        <f>VLOOKUP(1,A51:B53,2,FALSE)</f>
        <v>#N/A</v>
      </c>
      <c r="B29" t="s">
        <v>821</v>
      </c>
      <c r="C29" s="86">
        <f>C16</f>
        <v>0</v>
      </c>
      <c r="D29" t="s">
        <v>19</v>
      </c>
      <c r="G29" t="s">
        <v>969</v>
      </c>
      <c r="H29" t="s">
        <v>970</v>
      </c>
      <c r="I29" s="86">
        <f>IF(I5&lt;=600,0.0001,IF(I5&gt;600,I15/3.125))</f>
        <v>0.80608000000000002</v>
      </c>
      <c r="J29" t="s">
        <v>64</v>
      </c>
    </row>
    <row r="30" spans="1:11">
      <c r="C30" s="86"/>
      <c r="I30" s="86"/>
    </row>
    <row r="31" spans="1:11">
      <c r="A31" s="49"/>
      <c r="B31" t="s">
        <v>608</v>
      </c>
      <c r="C31" s="335">
        <f>'Ceny składowe'!C79</f>
        <v>2.1</v>
      </c>
      <c r="D31" t="s">
        <v>450</v>
      </c>
      <c r="I31" s="86"/>
    </row>
    <row r="32" spans="1:11">
      <c r="A32" s="49"/>
      <c r="C32" s="70"/>
      <c r="G32" s="49"/>
      <c r="H32" t="s">
        <v>608</v>
      </c>
      <c r="I32" s="335">
        <f>'Ceny składowe'!C79</f>
        <v>2.1</v>
      </c>
      <c r="J32" t="s">
        <v>450</v>
      </c>
    </row>
    <row r="33" spans="1:11">
      <c r="B33" t="s">
        <v>127</v>
      </c>
      <c r="C33" s="86">
        <f>C27</f>
        <v>7.5695999999999994</v>
      </c>
      <c r="D33" s="195">
        <f>'Ceny składowe'!C6</f>
        <v>4.3</v>
      </c>
      <c r="E33" s="195">
        <f>C33*D33</f>
        <v>32.549279999999996</v>
      </c>
      <c r="G33" s="49"/>
      <c r="I33" s="70"/>
    </row>
    <row r="34" spans="1:11">
      <c r="B34" t="s">
        <v>257</v>
      </c>
      <c r="C34" s="86">
        <f>C28</f>
        <v>1E-4</v>
      </c>
      <c r="D34" s="195">
        <f>'Ceny składowe'!C7</f>
        <v>4.2</v>
      </c>
      <c r="E34" s="195">
        <f>C34*D34</f>
        <v>4.2000000000000002E-4</v>
      </c>
      <c r="H34" t="s">
        <v>520</v>
      </c>
      <c r="I34" s="86">
        <f>I28</f>
        <v>1E-4</v>
      </c>
      <c r="J34" s="195">
        <f>'Ceny składowe'!C10</f>
        <v>170</v>
      </c>
      <c r="K34" s="195">
        <f>I34*J34</f>
        <v>1.7000000000000001E-2</v>
      </c>
    </row>
    <row r="35" spans="1:11">
      <c r="B35" t="s">
        <v>821</v>
      </c>
      <c r="C35" s="86">
        <f>C29</f>
        <v>0</v>
      </c>
      <c r="D35" s="292" t="b">
        <f>IF(A49=C51,E51,IF(A49=C52,E52,IF(A49=C53,E53)))</f>
        <v>0</v>
      </c>
      <c r="E35" s="195">
        <f>C35*D35</f>
        <v>0</v>
      </c>
      <c r="H35" t="s">
        <v>971</v>
      </c>
      <c r="I35" s="86">
        <f>I29</f>
        <v>0.80608000000000002</v>
      </c>
      <c r="J35" s="195">
        <f>'Ceny składowe'!C11</f>
        <v>360</v>
      </c>
      <c r="K35" s="195">
        <f>I35*J35</f>
        <v>290.18880000000001</v>
      </c>
    </row>
    <row r="36" spans="1:11">
      <c r="B36" t="s">
        <v>608</v>
      </c>
      <c r="C36" s="86">
        <f>C6/1000</f>
        <v>1</v>
      </c>
      <c r="D36" s="195">
        <f>C31</f>
        <v>2.1</v>
      </c>
      <c r="E36" s="195">
        <f>C36*D36</f>
        <v>2.1</v>
      </c>
      <c r="H36" t="s">
        <v>608</v>
      </c>
      <c r="I36" s="86">
        <f>I6/1000</f>
        <v>1</v>
      </c>
      <c r="J36" s="195">
        <f>I32</f>
        <v>2.1</v>
      </c>
      <c r="K36" s="195">
        <f>I36*J36</f>
        <v>2.1</v>
      </c>
    </row>
    <row r="37" spans="1:11">
      <c r="C37" s="86"/>
      <c r="D37" s="195" t="s">
        <v>22</v>
      </c>
      <c r="E37" s="195">
        <f>SUM(E33:E36)</f>
        <v>34.649699999999996</v>
      </c>
      <c r="I37" s="86"/>
      <c r="J37" s="195"/>
      <c r="K37" s="195"/>
    </row>
    <row r="38" spans="1:11">
      <c r="C38" s="86"/>
      <c r="D38" s="195"/>
      <c r="E38" s="195"/>
      <c r="J38" t="s">
        <v>22</v>
      </c>
      <c r="K38" s="195">
        <f>K34+K35+K36</f>
        <v>292.30580000000003</v>
      </c>
    </row>
    <row r="39" spans="1:11">
      <c r="C39" s="429" t="s">
        <v>828</v>
      </c>
      <c r="D39" s="433">
        <f>IF(D532&lt;=250,26,IF(D532&lt;=300,28,IF(D532&lt;=400,35,IF(D532&lt;=500,45,IF(D532&lt;=600,55,IF(D532&gt;600,65))))))</f>
        <v>26</v>
      </c>
      <c r="E39" s="429">
        <f>IF(AND(C8="Dekiel",C9="Dekiel"), D39*2,
IF(AND(C8="Redukcja",C9="Dekiel"), D39,
IF(AND(C8="Dekiel",C9="Redukcja"), D39,
IF(AND(C8="Dekiel",C9="Brak"), D39,
IF(AND(C8="Brak",C9="Dekiel"), D39, 0)))))</f>
        <v>0</v>
      </c>
      <c r="G39" s="236" t="s">
        <v>411</v>
      </c>
      <c r="H39" s="251">
        <f>IF(AND(I5&lt;=315,I6&gt;500),10,IF(AND(I5&lt;=315,I6&lt;=500),9,IF(AND(I5&lt;=500,I6&gt;500),15,IF(AND(I5&lt;=500,I6&lt;=500),14,IF(AND(I5&lt;=700,I6&gt;500),20,IF(AND(I5&lt;=700,I6&lt;=500),18,IF(AND(I5&gt;700,I6&gt;500),25,IF(AND(I5&gt;700,I6&lt;=500),22))))))))</f>
        <v>25</v>
      </c>
      <c r="I39" s="237" t="s">
        <v>412</v>
      </c>
      <c r="J39" s="261">
        <f>'Ceny składowe'!C94</f>
        <v>0.7</v>
      </c>
      <c r="K39" s="261">
        <f>H39*J39</f>
        <v>17.5</v>
      </c>
    </row>
    <row r="40" spans="1:11">
      <c r="C40" s="429" t="s">
        <v>829</v>
      </c>
      <c r="D40" s="433">
        <f>IF(D532&lt;=250,26,IF(D532&lt;=300,28,IF(D532&lt;=400,37,IF(D532&lt;=500,45.5,IF(D532&lt;=600,56,IF(D532&gt;600,68))))))</f>
        <v>26</v>
      </c>
      <c r="E40" s="429">
        <f>IF(AND(C8="Redukcja",C9="Redukcja"), D40*2,
IF(AND(C8="Dekiel",C9="Redukcja"), D40,
IF(AND(C8="Redukcja",C9="Dekiel"), D40,
IF(AND(C8="Brak",C9="Dekiel"), D40,
IF(AND(C8="Dekiel",C9="Brak"), D40, 0)))))</f>
        <v>0</v>
      </c>
      <c r="G40" s="159"/>
      <c r="H40" s="74"/>
      <c r="I40" s="237" t="s">
        <v>418</v>
      </c>
      <c r="J40" s="237" t="s">
        <v>419</v>
      </c>
      <c r="K40" s="261">
        <f>K38+K39</f>
        <v>309.80580000000003</v>
      </c>
    </row>
    <row r="41" spans="1:11">
      <c r="D41" s="430" t="s">
        <v>22</v>
      </c>
      <c r="E41" s="429">
        <f>SUM(E37:E40)</f>
        <v>34.649699999999996</v>
      </c>
    </row>
    <row r="42" spans="1:11">
      <c r="A42" s="236" t="s">
        <v>826</v>
      </c>
      <c r="B42" s="251">
        <f>IF(AND(C5&lt;=315,C6&gt;500),10,IF(AND(C5&lt;=315,C6&lt;=500),9,IF(AND(C5&lt;=500,C6&gt;500),15,IF(AND(C5&lt;=500,C6&lt;=500),14,IF(AND(C5&lt;=700,C6&gt;500),20,IF(AND(C5&lt;=700,C6&lt;=500),18,IF(AND(C5&gt;700,C6&gt;500),25,IF(AND(C5&gt;700,C6&lt;=500),22))))))))</f>
        <v>15</v>
      </c>
      <c r="C42" s="237" t="s">
        <v>412</v>
      </c>
      <c r="D42" s="261">
        <f>'Ceny składowe'!C94</f>
        <v>0.7</v>
      </c>
      <c r="E42" s="261">
        <f>B42*D42</f>
        <v>10.5</v>
      </c>
      <c r="J42" s="129" t="s">
        <v>296</v>
      </c>
      <c r="K42" s="196">
        <f>K40*1.9</f>
        <v>588.63102000000003</v>
      </c>
    </row>
    <row r="43" spans="1:11">
      <c r="B43" s="434" t="s">
        <v>847</v>
      </c>
      <c r="C43" s="434" t="s">
        <v>418</v>
      </c>
      <c r="D43" s="434" t="s">
        <v>419</v>
      </c>
      <c r="E43" s="435">
        <f>E37+E42</f>
        <v>45.149699999999996</v>
      </c>
      <c r="J43" s="129" t="s">
        <v>294</v>
      </c>
      <c r="K43" s="295">
        <f>(K42-K40)/K40</f>
        <v>0.89999999999999991</v>
      </c>
    </row>
    <row r="44" spans="1:11">
      <c r="A44" s="236" t="s">
        <v>827</v>
      </c>
      <c r="B44" s="251">
        <f>IF(AND(C5&lt;=315,C6&gt;500),30,IF(AND(C5&lt;=315,C6&lt;=500),25,IF(AND(C5&lt;=500,C6&gt;500),35,IF(AND(C5&lt;=500,C6&lt;=500),30,IF(AND(C5&lt;=700,C6&gt;500),40,IF(AND(C5&lt;=700,C6&lt;=500),34,IF(AND(C5&gt;700,C6&gt;500),45,IF(AND(C5&gt;700,C6&lt;=500),38))))))))</f>
        <v>35</v>
      </c>
      <c r="C44" s="237" t="s">
        <v>412</v>
      </c>
      <c r="D44" s="261">
        <f>'Ceny składowe'!C94</f>
        <v>0.7</v>
      </c>
      <c r="E44" s="261">
        <f t="shared" ref="E44:E45" si="0">B44*D44</f>
        <v>24.5</v>
      </c>
    </row>
    <row r="45" spans="1:11">
      <c r="A45" s="236" t="s">
        <v>846</v>
      </c>
      <c r="B45" s="251">
        <f>IF(AND(C8="brak", C9="brak"), 0, IF(AND(C8&lt;&gt;"brak", C9&lt;&gt;"brak"), 40, 20))</f>
        <v>0</v>
      </c>
      <c r="C45" s="237" t="s">
        <v>412</v>
      </c>
      <c r="D45" s="261">
        <f>'Ceny składowe'!C94</f>
        <v>0.7</v>
      </c>
      <c r="E45" s="261">
        <f t="shared" si="0"/>
        <v>0</v>
      </c>
    </row>
    <row r="46" spans="1:11">
      <c r="A46" s="236"/>
      <c r="B46" s="434" t="s">
        <v>848</v>
      </c>
      <c r="C46" s="434" t="s">
        <v>418</v>
      </c>
      <c r="D46" s="434" t="s">
        <v>419</v>
      </c>
      <c r="E46" s="435">
        <f>E44+E45+E37</f>
        <v>59.149699999999996</v>
      </c>
    </row>
    <row r="48" spans="1:11">
      <c r="A48" s="291" t="str">
        <f>'Cennik Produkcja '!E363</f>
        <v>Brak</v>
      </c>
      <c r="D48" s="129" t="s">
        <v>296</v>
      </c>
      <c r="E48" s="196">
        <f>IF(C7="Brak",E43*1.5,E46*2)</f>
        <v>67.724549999999994</v>
      </c>
    </row>
    <row r="49" spans="1:5">
      <c r="A49" s="291">
        <f>IF(A48="Brak",0,IF(A48=30,30,IF(A48=40,40,IF(A48=50,50))))</f>
        <v>0</v>
      </c>
      <c r="D49" s="129" t="s">
        <v>294</v>
      </c>
      <c r="E49" s="295">
        <f>(E48-E43)/E43</f>
        <v>0.5</v>
      </c>
    </row>
    <row r="51" spans="1:5">
      <c r="A51" s="291">
        <f>IF($A49=C51,1,0)</f>
        <v>0</v>
      </c>
      <c r="B51" s="311" t="s">
        <v>816</v>
      </c>
      <c r="C51" s="291">
        <v>30</v>
      </c>
      <c r="D51" s="291"/>
      <c r="E51" s="292">
        <f>'Ceny składowe'!C54</f>
        <v>22.57</v>
      </c>
    </row>
    <row r="52" spans="1:5">
      <c r="A52" s="291">
        <f>IF($A49=C52,1,0)</f>
        <v>0</v>
      </c>
      <c r="B52" s="311" t="s">
        <v>819</v>
      </c>
      <c r="C52" s="291">
        <v>40</v>
      </c>
      <c r="D52" s="291"/>
      <c r="E52" s="292">
        <f>'Ceny składowe'!C55</f>
        <v>28.01</v>
      </c>
    </row>
    <row r="53" spans="1:5">
      <c r="A53" s="291">
        <f>IF($A49=C53,1,0)</f>
        <v>0</v>
      </c>
      <c r="B53" s="311" t="s">
        <v>753</v>
      </c>
      <c r="C53" s="291">
        <v>50</v>
      </c>
      <c r="D53" s="291"/>
      <c r="E53" s="292">
        <f>'Ceny składowe'!C56</f>
        <v>32.299999999999997</v>
      </c>
    </row>
  </sheetData>
  <pageMargins left="0.7" right="0.7" top="0.75" bottom="0.75" header="0.3" footer="0.3"/>
  <pageSetup paperSize="256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2E79-A22E-4E94-BC17-814AC1BB3C51}">
  <dimension ref="A3:X37"/>
  <sheetViews>
    <sheetView workbookViewId="0">
      <selection activeCell="C32" sqref="C32"/>
    </sheetView>
  </sheetViews>
  <sheetFormatPr defaultRowHeight="14.4"/>
  <cols>
    <col min="1" max="1" width="18.6640625" customWidth="1"/>
    <col min="2" max="2" width="26" customWidth="1"/>
    <col min="3" max="3" width="21.33203125" customWidth="1"/>
    <col min="4" max="4" width="8.44140625" customWidth="1"/>
    <col min="5" max="5" width="11.33203125" customWidth="1"/>
    <col min="6" max="6" width="10.33203125" customWidth="1"/>
    <col min="18" max="18" width="9.44140625" customWidth="1"/>
    <col min="19" max="19" width="26.6640625" customWidth="1"/>
    <col min="20" max="20" width="27.33203125" customWidth="1"/>
    <col min="21" max="21" width="10.44140625" customWidth="1"/>
    <col min="22" max="22" width="12.88671875" customWidth="1"/>
    <col min="23" max="23" width="10.5546875" customWidth="1"/>
    <col min="24" max="24" width="10.6640625" customWidth="1"/>
  </cols>
  <sheetData>
    <row r="3" spans="2:23">
      <c r="B3" s="1" t="s">
        <v>850</v>
      </c>
      <c r="T3" s="1" t="s">
        <v>871</v>
      </c>
    </row>
    <row r="5" spans="2:23">
      <c r="B5" s="1" t="s">
        <v>865</v>
      </c>
      <c r="C5">
        <f>'Cennik Produkcja '!D410</f>
        <v>1350</v>
      </c>
      <c r="D5" t="s">
        <v>27</v>
      </c>
      <c r="T5" s="1" t="s">
        <v>865</v>
      </c>
      <c r="U5">
        <f>'Cennik Produkcja '!D417</f>
        <v>1200</v>
      </c>
      <c r="V5" t="s">
        <v>27</v>
      </c>
    </row>
    <row r="6" spans="2:23">
      <c r="B6" s="1" t="s">
        <v>866</v>
      </c>
      <c r="C6">
        <f>'Cennik Produkcja '!E410</f>
        <v>900</v>
      </c>
      <c r="D6" t="s">
        <v>27</v>
      </c>
      <c r="T6" s="1" t="s">
        <v>866</v>
      </c>
      <c r="U6">
        <f>'Cennik Produkcja '!E417</f>
        <v>600</v>
      </c>
      <c r="V6" t="s">
        <v>27</v>
      </c>
    </row>
    <row r="7" spans="2:23">
      <c r="B7" s="1" t="s">
        <v>856</v>
      </c>
      <c r="C7">
        <f>'Cennik Produkcja '!D412</f>
        <v>1350</v>
      </c>
      <c r="D7" t="s">
        <v>27</v>
      </c>
      <c r="T7" s="1" t="s">
        <v>856</v>
      </c>
      <c r="U7">
        <f>'Cennik Produkcja '!D419</f>
        <v>1000</v>
      </c>
      <c r="V7" t="s">
        <v>27</v>
      </c>
    </row>
    <row r="8" spans="2:23">
      <c r="B8" s="1" t="s">
        <v>857</v>
      </c>
      <c r="C8">
        <f>'Cennik Produkcja '!E412</f>
        <v>350</v>
      </c>
      <c r="D8" t="s">
        <v>27</v>
      </c>
      <c r="T8" s="1" t="s">
        <v>857</v>
      </c>
      <c r="U8">
        <f>'Cennik Produkcja '!E419</f>
        <v>400</v>
      </c>
      <c r="V8" t="s">
        <v>27</v>
      </c>
    </row>
    <row r="9" spans="2:23">
      <c r="B9" s="1" t="s">
        <v>864</v>
      </c>
      <c r="C9" s="90">
        <f>'Cennik Produkcja '!F410</f>
        <v>250</v>
      </c>
      <c r="D9" t="s">
        <v>27</v>
      </c>
      <c r="T9" s="1" t="s">
        <v>864</v>
      </c>
      <c r="U9" s="90">
        <f>'Cennik Produkcja '!F417</f>
        <v>200</v>
      </c>
      <c r="V9" t="s">
        <v>27</v>
      </c>
    </row>
    <row r="10" spans="2:23">
      <c r="B10" s="1" t="s">
        <v>3</v>
      </c>
      <c r="C10" s="90">
        <f>'Cennik Produkcja '!F412</f>
        <v>450</v>
      </c>
      <c r="D10" t="s">
        <v>27</v>
      </c>
      <c r="T10" s="1" t="s">
        <v>3</v>
      </c>
      <c r="U10" s="90">
        <f>'Cennik Produkcja '!F419</f>
        <v>400</v>
      </c>
      <c r="V10" t="s">
        <v>27</v>
      </c>
    </row>
    <row r="11" spans="2:23">
      <c r="B11" s="1" t="s">
        <v>120</v>
      </c>
      <c r="C11" s="354" t="str">
        <f>'Cennik Produkcja '!D414</f>
        <v>NIE</v>
      </c>
      <c r="D11" s="374">
        <f>IF(C11="TAK",4,0.001)</f>
        <v>1E-3</v>
      </c>
      <c r="E11" t="s">
        <v>64</v>
      </c>
      <c r="T11" s="1" t="s">
        <v>120</v>
      </c>
      <c r="U11" s="354" t="str">
        <f>'Cennik Produkcja '!D421</f>
        <v>NIE</v>
      </c>
      <c r="V11" s="374">
        <f>IF(U11="TAK",4,0.001)</f>
        <v>1E-3</v>
      </c>
      <c r="W11" t="s">
        <v>64</v>
      </c>
    </row>
    <row r="12" spans="2:23">
      <c r="B12" s="1"/>
      <c r="D12">
        <f>IF(C11="TAK",((C5*2)+(C6*2))/1000,0.0001)</f>
        <v>1E-4</v>
      </c>
      <c r="E12" t="s">
        <v>450</v>
      </c>
      <c r="T12" s="1"/>
      <c r="V12">
        <f>IF(U11="TAK",((U5*2)+(U6*2))/1000,0.0001)</f>
        <v>1E-4</v>
      </c>
      <c r="W12" t="s">
        <v>450</v>
      </c>
    </row>
    <row r="13" spans="2:23">
      <c r="B13" s="1" t="s">
        <v>858</v>
      </c>
      <c r="C13" s="86">
        <f>SQRT(C10^2 + ((C6-C8)/2)^2)</f>
        <v>527.37557774322465</v>
      </c>
      <c r="T13" s="1" t="s">
        <v>858</v>
      </c>
      <c r="U13" s="86">
        <f>SQRT(U10^2 + ((U6-U8)/2)^2)</f>
        <v>412.31056256176606</v>
      </c>
    </row>
    <row r="14" spans="2:23">
      <c r="B14" s="1" t="s">
        <v>859</v>
      </c>
      <c r="C14" s="86">
        <f>SQRT(C10^2 + ((C5-C7)/2)^2)</f>
        <v>450</v>
      </c>
      <c r="T14" s="1" t="s">
        <v>859</v>
      </c>
      <c r="U14" s="86">
        <f>SQRT(U10^2 + ((U5-U7)/2)^2)</f>
        <v>412.31056256176606</v>
      </c>
    </row>
    <row r="15" spans="2:23">
      <c r="B15" s="1" t="s">
        <v>860</v>
      </c>
      <c r="C15" s="86">
        <f>(((C5+C7)*C13) + ((C6+C8)*C14)) * 1.15/1000000</f>
        <v>2.2843761688927122</v>
      </c>
      <c r="D15" t="s">
        <v>19</v>
      </c>
      <c r="T15" s="1" t="s">
        <v>860</v>
      </c>
      <c r="U15" s="86">
        <f>(((U5+U7)*U13) + ((U6+U8)*U14)) * 1.15/1000000</f>
        <v>1.517302870227299</v>
      </c>
      <c r="V15" t="s">
        <v>19</v>
      </c>
    </row>
    <row r="16" spans="2:23">
      <c r="B16" s="1" t="s">
        <v>861</v>
      </c>
      <c r="C16" s="86">
        <f>(C7*C8 - (PI() * (C9/2)^2))*1.15 / 1000000</f>
        <v>0.48692450700580836</v>
      </c>
      <c r="D16" t="s">
        <v>19</v>
      </c>
      <c r="T16" s="1" t="s">
        <v>861</v>
      </c>
      <c r="U16" s="86">
        <f>(U7*U8 - (PI() * (U9/2)^2))*1.15 / 1000000</f>
        <v>0.42387168448371731</v>
      </c>
      <c r="V16" t="s">
        <v>19</v>
      </c>
    </row>
    <row r="17" spans="1:24">
      <c r="B17" s="1" t="s">
        <v>862</v>
      </c>
      <c r="C17" s="86">
        <f>(C9*3.14)*0.65/10000</f>
        <v>5.1025000000000001E-2</v>
      </c>
      <c r="D17" t="s">
        <v>19</v>
      </c>
      <c r="T17" s="1" t="s">
        <v>862</v>
      </c>
      <c r="U17" s="86">
        <f>(U9*3.14)*0.65/10000</f>
        <v>4.0820000000000002E-2</v>
      </c>
      <c r="V17" t="s">
        <v>19</v>
      </c>
    </row>
    <row r="18" spans="1:24">
      <c r="B18" s="1" t="s">
        <v>867</v>
      </c>
      <c r="C18">
        <f>ROUNDUP(((4 * SQRT(C10^2 + ((C5-C7)/2)^2 + ((C6-C8)/2)^2)) + (2*C7 + 2*C8)) / 50, 0)</f>
        <v>111</v>
      </c>
      <c r="D18" t="s">
        <v>10</v>
      </c>
      <c r="T18" s="1" t="s">
        <v>867</v>
      </c>
      <c r="U18">
        <f>ROUNDUP(((4 * SQRT(U10^2 + ((U5-U7)/2)^2 + ((U6-U8)/2)^2)) + (2*U7 + 2*U8)) / 50, 0)</f>
        <v>90</v>
      </c>
      <c r="V18" t="s">
        <v>10</v>
      </c>
    </row>
    <row r="21" spans="1:24">
      <c r="A21" s="54" t="s">
        <v>100</v>
      </c>
      <c r="B21" s="13" t="s">
        <v>4</v>
      </c>
      <c r="C21" s="10" t="s">
        <v>5</v>
      </c>
      <c r="E21" s="13" t="s">
        <v>6</v>
      </c>
      <c r="F21" s="13" t="s">
        <v>7</v>
      </c>
      <c r="S21" s="54" t="s">
        <v>100</v>
      </c>
      <c r="T21" s="13" t="s">
        <v>4</v>
      </c>
      <c r="U21" s="10" t="s">
        <v>5</v>
      </c>
      <c r="W21" s="13" t="s">
        <v>6</v>
      </c>
      <c r="X21" s="13" t="s">
        <v>7</v>
      </c>
    </row>
    <row r="22" spans="1:24">
      <c r="A22" t="s">
        <v>176</v>
      </c>
      <c r="B22" t="s">
        <v>127</v>
      </c>
      <c r="C22" s="316">
        <f>C17*4.8</f>
        <v>0.24492</v>
      </c>
      <c r="D22" t="s">
        <v>17</v>
      </c>
      <c r="E22" s="195">
        <f>'Ceny składowe'!C6</f>
        <v>4.3</v>
      </c>
      <c r="F22" s="195">
        <f t="shared" ref="F22:F29" si="0">C22*E22</f>
        <v>1.053156</v>
      </c>
      <c r="S22" s="100" t="s">
        <v>603</v>
      </c>
      <c r="T22" s="114" t="s">
        <v>604</v>
      </c>
      <c r="U22" s="316">
        <f>(U15+U16+U17)/2</f>
        <v>0.99099727735550824</v>
      </c>
      <c r="V22" t="s">
        <v>605</v>
      </c>
      <c r="W22" s="195">
        <f>'Ceny składowe'!C10</f>
        <v>170</v>
      </c>
      <c r="X22" s="195">
        <f>U22*W22</f>
        <v>168.46953715043639</v>
      </c>
    </row>
    <row r="23" spans="1:24">
      <c r="A23" s="100" t="s">
        <v>246</v>
      </c>
      <c r="B23" t="s">
        <v>257</v>
      </c>
      <c r="C23" s="316">
        <f>IF(AND(C5&lt;=2000,C6&lt;=2000),(C15+C16)*6.4,0.0001)</f>
        <v>17.73632432575053</v>
      </c>
      <c r="D23" t="s">
        <v>17</v>
      </c>
      <c r="E23" s="195">
        <f>'Ceny składowe'!C7</f>
        <v>4.2</v>
      </c>
      <c r="F23" s="195">
        <f t="shared" si="0"/>
        <v>74.492562168152233</v>
      </c>
      <c r="S23" t="s">
        <v>911</v>
      </c>
      <c r="T23" t="s">
        <v>912</v>
      </c>
      <c r="U23" s="316">
        <f>U18</f>
        <v>90</v>
      </c>
      <c r="V23" t="s">
        <v>64</v>
      </c>
      <c r="W23" s="195">
        <f>'Ceny składowe'!C59</f>
        <v>0.09</v>
      </c>
      <c r="X23" s="195">
        <f>U23*W23</f>
        <v>8.1</v>
      </c>
    </row>
    <row r="24" spans="1:24">
      <c r="A24" t="s">
        <v>633</v>
      </c>
      <c r="B24" t="s">
        <v>631</v>
      </c>
      <c r="C24" s="316">
        <f>IF(OR(C5&gt;2000,C6&gt;2000),(C15+C16)*7.2,0.0001)</f>
        <v>1E-4</v>
      </c>
      <c r="D24" t="s">
        <v>17</v>
      </c>
      <c r="E24" s="195">
        <f>'Ceny składowe'!C8</f>
        <v>4.2</v>
      </c>
      <c r="F24" s="195">
        <f t="shared" si="0"/>
        <v>4.2000000000000002E-4</v>
      </c>
      <c r="S24" t="s">
        <v>876</v>
      </c>
      <c r="T24" t="s">
        <v>880</v>
      </c>
      <c r="U24" s="442">
        <f>IF(AND(U5&lt;=1000,U6&lt;=1000),V11,0.0001)</f>
        <v>1E-4</v>
      </c>
      <c r="V24" t="s">
        <v>64</v>
      </c>
      <c r="W24" s="195">
        <f>'Ceny składowe'!C21</f>
        <v>2.7</v>
      </c>
      <c r="X24" s="195">
        <f t="shared" ref="X24:X27" si="1">U24*W24</f>
        <v>2.7000000000000006E-4</v>
      </c>
    </row>
    <row r="25" spans="1:24">
      <c r="A25" t="s">
        <v>617</v>
      </c>
      <c r="B25" t="s">
        <v>863</v>
      </c>
      <c r="C25" s="316">
        <f>((((4 * SQRT(C10^2 + ((C5-C7)/2)^2 + ((C6-C8)/2)^2)) + (2*C7 + 2*C8)) / 50) / 656) * 1.01</f>
        <v>0.16965235774642159</v>
      </c>
      <c r="D25" t="s">
        <v>17</v>
      </c>
      <c r="E25" s="195">
        <f>'Ceny składowe'!C58</f>
        <v>17.899999999999999</v>
      </c>
      <c r="F25" s="195">
        <f>C25*E25</f>
        <v>3.0367772036609462</v>
      </c>
      <c r="S25" t="s">
        <v>878</v>
      </c>
      <c r="T25" t="s">
        <v>881</v>
      </c>
      <c r="U25" s="442">
        <f>IF(OR(U5&gt;1000,U6&gt;1000),V11,0.0001)</f>
        <v>1E-3</v>
      </c>
      <c r="V25" t="s">
        <v>64</v>
      </c>
      <c r="W25" s="195">
        <f>'Ceny składowe'!C23</f>
        <v>5.0999999999999996</v>
      </c>
      <c r="X25" s="195">
        <f t="shared" si="1"/>
        <v>5.0999999999999995E-3</v>
      </c>
    </row>
    <row r="26" spans="1:24">
      <c r="A26" t="s">
        <v>337</v>
      </c>
      <c r="B26" t="s">
        <v>65</v>
      </c>
      <c r="C26" s="442">
        <f>IF(AND(C5&lt;=1000,C6&lt;=1000),D11,0.0001)</f>
        <v>1E-4</v>
      </c>
      <c r="D26" t="s">
        <v>64</v>
      </c>
      <c r="E26" s="195">
        <f>'Ceny składowe'!C20</f>
        <v>0.27</v>
      </c>
      <c r="F26" s="195">
        <f t="shared" si="0"/>
        <v>2.7000000000000002E-5</v>
      </c>
      <c r="S26" t="s">
        <v>872</v>
      </c>
      <c r="T26" t="s">
        <v>882</v>
      </c>
      <c r="U26" s="442">
        <f>IF(AND(U5&lt;=1000,U6&lt;=1000),V12,0.0001)</f>
        <v>1E-4</v>
      </c>
      <c r="V26" t="s">
        <v>2</v>
      </c>
      <c r="W26" s="195">
        <f>'Ceny składowe'!C35</f>
        <v>17.399999999999999</v>
      </c>
      <c r="X26" s="195">
        <f t="shared" si="1"/>
        <v>1.74E-3</v>
      </c>
    </row>
    <row r="27" spans="1:24">
      <c r="A27" t="s">
        <v>336</v>
      </c>
      <c r="B27" t="s">
        <v>67</v>
      </c>
      <c r="C27" s="442">
        <f>IF(OR(C5&gt;1000,C6&gt;1000),D11,0.0001)</f>
        <v>1E-3</v>
      </c>
      <c r="D27" t="s">
        <v>64</v>
      </c>
      <c r="E27" s="195">
        <f>'Ceny składowe'!C22</f>
        <v>0.75</v>
      </c>
      <c r="F27" s="195">
        <f t="shared" si="0"/>
        <v>7.5000000000000002E-4</v>
      </c>
      <c r="S27" t="s">
        <v>874</v>
      </c>
      <c r="T27" t="s">
        <v>883</v>
      </c>
      <c r="U27" s="442">
        <f>IF(OR(U5&gt;1000,U6&gt;1000),V12,0.0001)</f>
        <v>1E-4</v>
      </c>
      <c r="V27" t="s">
        <v>2</v>
      </c>
      <c r="W27" s="195">
        <f>'Ceny składowe'!C37</f>
        <v>25.8</v>
      </c>
      <c r="X27" s="195">
        <f t="shared" si="1"/>
        <v>2.5800000000000003E-3</v>
      </c>
    </row>
    <row r="28" spans="1:24">
      <c r="A28" t="s">
        <v>334</v>
      </c>
      <c r="B28" t="s">
        <v>330</v>
      </c>
      <c r="C28" s="442">
        <f>IF(AND(C5&lt;=1000,C6&lt;=1000),D12,0.0001)</f>
        <v>1E-4</v>
      </c>
      <c r="D28" t="s">
        <v>2</v>
      </c>
      <c r="E28" s="195">
        <f>'Ceny składowe'!C34</f>
        <v>1.89</v>
      </c>
      <c r="F28" s="195">
        <f t="shared" si="0"/>
        <v>1.8899999999999999E-4</v>
      </c>
    </row>
    <row r="29" spans="1:24">
      <c r="A29" t="s">
        <v>406</v>
      </c>
      <c r="B29" t="s">
        <v>331</v>
      </c>
      <c r="C29" s="442">
        <f>IF(OR(C5&gt;1000,C6&gt;1000),D12,0.0001)</f>
        <v>1E-4</v>
      </c>
      <c r="D29" t="s">
        <v>2</v>
      </c>
      <c r="E29" s="195">
        <f>'Ceny składowe'!C36</f>
        <v>2.92</v>
      </c>
      <c r="F29" s="195">
        <f t="shared" si="0"/>
        <v>2.92E-4</v>
      </c>
      <c r="W29" s="54" t="s">
        <v>869</v>
      </c>
      <c r="X29" s="195">
        <f>SUM(X24:X27)</f>
        <v>9.6900000000000007E-3</v>
      </c>
    </row>
    <row r="30" spans="1:24">
      <c r="W30" s="10" t="s">
        <v>868</v>
      </c>
      <c r="X30" s="198">
        <f>SUM(X22:X23)</f>
        <v>176.56953715043639</v>
      </c>
    </row>
    <row r="31" spans="1:24">
      <c r="E31" s="54" t="s">
        <v>869</v>
      </c>
      <c r="F31" s="195">
        <f>SUM(F26:F29)</f>
        <v>1.258E-3</v>
      </c>
      <c r="W31" s="127" t="s">
        <v>305</v>
      </c>
      <c r="X31" s="198">
        <f>(X30*8)+(X29*2)</f>
        <v>1412.5756772034911</v>
      </c>
    </row>
    <row r="32" spans="1:24">
      <c r="E32" s="10" t="s">
        <v>868</v>
      </c>
      <c r="F32" s="198">
        <f>SUM(F22:F25)</f>
        <v>78.582915371813186</v>
      </c>
      <c r="W32" s="54" t="s">
        <v>294</v>
      </c>
      <c r="X32" s="234">
        <f>(X31-X30)/X30</f>
        <v>7.0001097584572785</v>
      </c>
    </row>
    <row r="33" spans="2:24">
      <c r="E33" s="127" t="s">
        <v>305</v>
      </c>
      <c r="F33" s="198">
        <f>(F32*8.3)+(F31*3.6)</f>
        <v>652.24272638604953</v>
      </c>
    </row>
    <row r="34" spans="2:24">
      <c r="E34" s="54" t="s">
        <v>294</v>
      </c>
      <c r="F34" s="234">
        <f>(F33-F32)/F32</f>
        <v>7.3000576308473493</v>
      </c>
      <c r="T34" s="236" t="s">
        <v>411</v>
      </c>
      <c r="U34" s="251" t="e">
        <f>IF(#REF!&gt;=900,IF(#REF!&gt;500,190,160),IF(#REF!&gt;=800,IF(#REF!&gt;500,175,150),IF(#REF!&gt;=700,IF(#REF!&gt;500,140,120),IF(#REF!&gt;=600,IF(#REF!&gt;500,115,100),IF(#REF!&gt;=500,IF(#REF!&gt;500,95,85),IF(#REF!&gt;=400,IF(#REF!&gt;500,80,70),IF(#REF!&gt;=300,IF(#REF!&gt;=300,60,55),IF(#REF!&gt;0,IF(#REF!&gt;200,50,45),0))))))))</f>
        <v>#REF!</v>
      </c>
      <c r="V34" s="237" t="s">
        <v>412</v>
      </c>
      <c r="W34" s="239" t="e">
        <f>'Ceny składowe'!#REF!</f>
        <v>#REF!</v>
      </c>
      <c r="X34" s="238" t="e">
        <f>U34*W34</f>
        <v>#REF!</v>
      </c>
    </row>
    <row r="35" spans="2:24">
      <c r="U35" s="74"/>
      <c r="V35" s="237" t="s">
        <v>418</v>
      </c>
      <c r="W35" s="237" t="s">
        <v>419</v>
      </c>
      <c r="X35" s="240" t="e">
        <f>X30+X34</f>
        <v>#REF!</v>
      </c>
    </row>
    <row r="36" spans="2:24">
      <c r="B36" s="236" t="s">
        <v>411</v>
      </c>
      <c r="C36" s="251" t="e">
        <f>IF(#REF!&gt;=900,IF(#REF!&gt;500,190,160),IF(#REF!&gt;=800,IF(#REF!&gt;500,175,150),IF(#REF!&gt;=700,IF(#REF!&gt;500,140,120),IF(#REF!&gt;=600,IF(#REF!&gt;500,115,100),IF(#REF!&gt;=500,IF(#REF!&gt;500,95,85),IF(#REF!&gt;=400,IF(#REF!&gt;500,80,70),IF(#REF!&gt;=300,IF(#REF!&gt;=300,60,55),IF(#REF!&gt;0,IF(#REF!&gt;200,50,45),0))))))))</f>
        <v>#REF!</v>
      </c>
      <c r="D36" s="237" t="s">
        <v>412</v>
      </c>
      <c r="E36" s="239" t="e">
        <f>'Ceny składowe'!#REF!</f>
        <v>#REF!</v>
      </c>
      <c r="F36" s="238" t="e">
        <f>C36*E36</f>
        <v>#REF!</v>
      </c>
    </row>
    <row r="37" spans="2:24">
      <c r="C37" s="74"/>
      <c r="D37" s="237" t="s">
        <v>418</v>
      </c>
      <c r="E37" s="237" t="s">
        <v>419</v>
      </c>
      <c r="F37" s="240" t="e">
        <f>F32+F36</f>
        <v>#REF!</v>
      </c>
    </row>
  </sheetData>
  <pageMargins left="0.7" right="0.7" top="0.75" bottom="0.75" header="0.3" footer="0.3"/>
  <pageSetup paperSize="2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29</vt:i4>
      </vt:variant>
      <vt:variant>
        <vt:lpstr>Nazwane zakresy</vt:lpstr>
      </vt:variant>
      <vt:variant>
        <vt:i4>3</vt:i4>
      </vt:variant>
    </vt:vector>
  </HeadingPairs>
  <TitlesOfParts>
    <vt:vector size="32" baseType="lpstr">
      <vt:lpstr>Cennik Produkcja </vt:lpstr>
      <vt:lpstr>Ceny składowe</vt:lpstr>
      <vt:lpstr>Kanał osiatkowany</vt:lpstr>
      <vt:lpstr>Ramka do kanałów</vt:lpstr>
      <vt:lpstr>Przej_dach_okr</vt:lpstr>
      <vt:lpstr>Wyrzutnie</vt:lpstr>
      <vt:lpstr>Podstawa PD</vt:lpstr>
      <vt:lpstr>Puszka filtracyjna</vt:lpstr>
      <vt:lpstr>Przepustnice</vt:lpstr>
      <vt:lpstr>Wywietrzak cylindryczny</vt:lpstr>
      <vt:lpstr>Czerpnia ścienna</vt:lpstr>
      <vt:lpstr>Tłumik prostokątny</vt:lpstr>
      <vt:lpstr>Tłumik okrągły</vt:lpstr>
      <vt:lpstr>Kalkulacje spiro</vt:lpstr>
      <vt:lpstr>Czerpnia dachowa lamelowa</vt:lpstr>
      <vt:lpstr>Puszka rozprężna</vt:lpstr>
      <vt:lpstr>Puszka rozprężna okrągła</vt:lpstr>
      <vt:lpstr>Tap</vt:lpstr>
      <vt:lpstr>Taca ociekowa</vt:lpstr>
      <vt:lpstr>Kolar_Nypel_Mufa</vt:lpstr>
      <vt:lpstr>Wyrzutnia ścięta osiatkowana</vt:lpstr>
      <vt:lpstr>Podstawa dachowa okrągła</vt:lpstr>
      <vt:lpstr>Kolar osiatkowany ILS</vt:lpstr>
      <vt:lpstr>Kołnierz elastyczny</vt:lpstr>
      <vt:lpstr>Filtr </vt:lpstr>
      <vt:lpstr>Cokół COKD</vt:lpstr>
      <vt:lpstr>Redukcja okrągła</vt:lpstr>
      <vt:lpstr>Rura gładka</vt:lpstr>
      <vt:lpstr>Okap</vt:lpstr>
      <vt:lpstr>'Czerpnia ścienna'!Obszar_wydruku</vt:lpstr>
      <vt:lpstr>Przepustnice!Obszar_wydruku</vt:lpstr>
      <vt:lpstr>'Wywietrzak cylindryczny'!Obszar_wydruku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J.</dc:creator>
  <cp:lastModifiedBy>Produkcja</cp:lastModifiedBy>
  <cp:lastPrinted>2020-07-03T11:57:21Z</cp:lastPrinted>
  <dcterms:created xsi:type="dcterms:W3CDTF">2018-11-22T09:16:16Z</dcterms:created>
  <dcterms:modified xsi:type="dcterms:W3CDTF">2026-10-02T05:56:07Z</dcterms:modified>
</cp:coreProperties>
</file>